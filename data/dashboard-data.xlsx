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 activeTab="1"/>
  </bookViews>
  <sheets>
    <sheet name="DAILY" sheetId="1" r:id="rId1"/>
    <sheet name="COMMON" sheetId="2" r:id="rId2"/>
    <sheet name="AVAILABILITY" sheetId="3" r:id="rId3"/>
    <sheet name="DEFECT" sheetId="4" r:id="rId4"/>
  </sheets>
  <definedNames>
    <definedName name="AvailPeriod">OFFSET(#REF!,0,0,TrendCount,1)</definedName>
    <definedName name="AvailU1">OFFSET(#REF!,0,0,TrendCount,1)</definedName>
    <definedName name="AvailU2">OFFSET(#REF!,0,0,TrendCount,1)</definedName>
    <definedName name="AvailU3">OFFSET(#REF!,0,0,TrendCount,1)</definedName>
    <definedName name="OpacityPeriod">OFFSET(#REF!,0,0,TrendCount,1)</definedName>
    <definedName name="OpacityU1">OFFSET(#REF!,0,0,TrendCount,1)</definedName>
    <definedName name="OpacityU2">OFFSET(#REF!,0,0,TrendCount,1)</definedName>
    <definedName name="OpacityU3">OFFSET(#REF!,0,0,TrendCount,1)</definedName>
    <definedName name="SoxPeriod">OFFSET(#REF!,0,0,TrendCount,1)</definedName>
    <definedName name="SoxU1">OFFSET(#REF!,0,0,TrendCount,1)</definedName>
    <definedName name="SoxU2">OFFSET(#REF!,0,0,TrendCount,1)</definedName>
    <definedName name="SoxU3">OFFSET(#REF!,0,0,TrendCount,1)</definedName>
    <definedName name="TrendCount">IF(#REF!="Daily",11,IF(#REF!="Monthly",DAY(EOMONTH(DATE(VALUE(LEFT(#REF!,4))+IF(MATCH(#REF!,#REF!,0)&gt;=10,1,0),MOD(MATCH(#REF!,#REF!,0)+2,12)+1,1),0)),12))</definedName>
  </definedNames>
  <calcPr calcId="124519"/>
</workbook>
</file>

<file path=xl/calcChain.xml><?xml version="1.0" encoding="utf-8"?>
<calcChain xmlns="http://schemas.openxmlformats.org/spreadsheetml/2006/main">
  <c r="B1" i="4"/>
  <c r="C5" s="1"/>
  <c r="N184" i="3"/>
  <c r="M184"/>
  <c r="L184"/>
  <c r="H184"/>
  <c r="G184"/>
  <c r="F184"/>
  <c r="N183"/>
  <c r="M183"/>
  <c r="L183"/>
  <c r="H183"/>
  <c r="G183"/>
  <c r="F183"/>
  <c r="N182"/>
  <c r="M182"/>
  <c r="L182"/>
  <c r="H182"/>
  <c r="G182"/>
  <c r="F182"/>
  <c r="N181"/>
  <c r="M181"/>
  <c r="L181"/>
  <c r="H181"/>
  <c r="G181"/>
  <c r="F181"/>
  <c r="N180"/>
  <c r="M180"/>
  <c r="L180"/>
  <c r="H180"/>
  <c r="G180"/>
  <c r="F180"/>
  <c r="N179"/>
  <c r="M179"/>
  <c r="L179"/>
  <c r="H179"/>
  <c r="G179"/>
  <c r="F179"/>
  <c r="N178"/>
  <c r="M178"/>
  <c r="L178"/>
  <c r="H178"/>
  <c r="G178"/>
  <c r="F178"/>
  <c r="N177"/>
  <c r="M177"/>
  <c r="L177"/>
  <c r="H177"/>
  <c r="G177"/>
  <c r="F177"/>
  <c r="N176"/>
  <c r="M176"/>
  <c r="L176"/>
  <c r="H176"/>
  <c r="G176"/>
  <c r="F176"/>
  <c r="N175"/>
  <c r="M175"/>
  <c r="L175"/>
  <c r="H175"/>
  <c r="G175"/>
  <c r="F175"/>
  <c r="N174"/>
  <c r="M174"/>
  <c r="L174"/>
  <c r="H174"/>
  <c r="G174"/>
  <c r="F174"/>
  <c r="N173"/>
  <c r="M173"/>
  <c r="L173"/>
  <c r="H173"/>
  <c r="G173"/>
  <c r="F173"/>
  <c r="N172"/>
  <c r="M172"/>
  <c r="L172"/>
  <c r="H172"/>
  <c r="G172"/>
  <c r="F172"/>
  <c r="N171"/>
  <c r="M171"/>
  <c r="L171"/>
  <c r="H171"/>
  <c r="G171"/>
  <c r="F171"/>
  <c r="N170"/>
  <c r="M170"/>
  <c r="L170"/>
  <c r="H170"/>
  <c r="G170"/>
  <c r="F170"/>
  <c r="N169"/>
  <c r="M169"/>
  <c r="L169"/>
  <c r="H169"/>
  <c r="G169"/>
  <c r="F169"/>
  <c r="N168"/>
  <c r="M168"/>
  <c r="L168"/>
  <c r="H168"/>
  <c r="G168"/>
  <c r="F168"/>
  <c r="N167"/>
  <c r="M167"/>
  <c r="L167"/>
  <c r="H167"/>
  <c r="G167"/>
  <c r="F167"/>
  <c r="N166"/>
  <c r="M166"/>
  <c r="L166"/>
  <c r="H166"/>
  <c r="G166"/>
  <c r="F166"/>
  <c r="N165"/>
  <c r="M165"/>
  <c r="L165"/>
  <c r="H165"/>
  <c r="G165"/>
  <c r="F165"/>
  <c r="N164"/>
  <c r="M164"/>
  <c r="L164"/>
  <c r="H164"/>
  <c r="G164"/>
  <c r="F164"/>
  <c r="N163"/>
  <c r="M163"/>
  <c r="L163"/>
  <c r="H163"/>
  <c r="G163"/>
  <c r="F163"/>
  <c r="N162"/>
  <c r="M162"/>
  <c r="L162"/>
  <c r="H162"/>
  <c r="G162"/>
  <c r="F162"/>
  <c r="N161"/>
  <c r="M161"/>
  <c r="L161"/>
  <c r="H161"/>
  <c r="G161"/>
  <c r="F161"/>
  <c r="N160"/>
  <c r="M160"/>
  <c r="L160"/>
  <c r="H160"/>
  <c r="G160"/>
  <c r="F160"/>
  <c r="N159"/>
  <c r="M159"/>
  <c r="L159"/>
  <c r="H159"/>
  <c r="G159"/>
  <c r="F159"/>
  <c r="N158"/>
  <c r="M158"/>
  <c r="L158"/>
  <c r="H158"/>
  <c r="G158"/>
  <c r="F158"/>
  <c r="N157"/>
  <c r="M157"/>
  <c r="L157"/>
  <c r="H157"/>
  <c r="G157"/>
  <c r="F157"/>
  <c r="N156"/>
  <c r="M156"/>
  <c r="L156"/>
  <c r="H156"/>
  <c r="G156"/>
  <c r="F156"/>
  <c r="N155"/>
  <c r="M155"/>
  <c r="L155"/>
  <c r="H155"/>
  <c r="G155"/>
  <c r="F155"/>
  <c r="N154"/>
  <c r="M154"/>
  <c r="L154"/>
  <c r="H154"/>
  <c r="G154"/>
  <c r="F154"/>
  <c r="N153"/>
  <c r="M153"/>
  <c r="L153"/>
  <c r="H153"/>
  <c r="G153"/>
  <c r="F153"/>
  <c r="N152"/>
  <c r="M152"/>
  <c r="L152"/>
  <c r="H152"/>
  <c r="G152"/>
  <c r="F152"/>
  <c r="N151"/>
  <c r="M151"/>
  <c r="L151"/>
  <c r="H151"/>
  <c r="G151"/>
  <c r="F151"/>
  <c r="N150"/>
  <c r="M150"/>
  <c r="L150"/>
  <c r="H150"/>
  <c r="G150"/>
  <c r="F150"/>
  <c r="N149"/>
  <c r="M149"/>
  <c r="L149"/>
  <c r="H149"/>
  <c r="G149"/>
  <c r="F149"/>
  <c r="N148"/>
  <c r="M148"/>
  <c r="L148"/>
  <c r="H148"/>
  <c r="G148"/>
  <c r="F148"/>
  <c r="N147"/>
  <c r="M147"/>
  <c r="L147"/>
  <c r="H147"/>
  <c r="G147"/>
  <c r="F147"/>
  <c r="N146"/>
  <c r="M146"/>
  <c r="L146"/>
  <c r="H146"/>
  <c r="G146"/>
  <c r="F146"/>
  <c r="N145"/>
  <c r="M145"/>
  <c r="L145"/>
  <c r="H145"/>
  <c r="G145"/>
  <c r="F145"/>
  <c r="N144"/>
  <c r="M144"/>
  <c r="L144"/>
  <c r="H144"/>
  <c r="G144"/>
  <c r="F144"/>
  <c r="N143"/>
  <c r="M143"/>
  <c r="L143"/>
  <c r="H143"/>
  <c r="G143"/>
  <c r="F143"/>
  <c r="N142"/>
  <c r="M142"/>
  <c r="L142"/>
  <c r="H142"/>
  <c r="G142"/>
  <c r="F142"/>
  <c r="N141"/>
  <c r="M141"/>
  <c r="L141"/>
  <c r="H141"/>
  <c r="G141"/>
  <c r="F141"/>
  <c r="N140"/>
  <c r="M140"/>
  <c r="L140"/>
  <c r="H140"/>
  <c r="G140"/>
  <c r="F140"/>
  <c r="N139"/>
  <c r="M139"/>
  <c r="L139"/>
  <c r="H139"/>
  <c r="G139"/>
  <c r="F139"/>
  <c r="N138"/>
  <c r="M138"/>
  <c r="L138"/>
  <c r="H138"/>
  <c r="G138"/>
  <c r="F138"/>
  <c r="N137"/>
  <c r="M137"/>
  <c r="L137"/>
  <c r="H137"/>
  <c r="G137"/>
  <c r="F137"/>
  <c r="N136"/>
  <c r="M136"/>
  <c r="L136"/>
  <c r="H136"/>
  <c r="G136"/>
  <c r="F136"/>
  <c r="N135"/>
  <c r="M135"/>
  <c r="L135"/>
  <c r="H135"/>
  <c r="G135"/>
  <c r="F135"/>
  <c r="N134"/>
  <c r="M134"/>
  <c r="L134"/>
  <c r="H134"/>
  <c r="G134"/>
  <c r="F134"/>
  <c r="N133"/>
  <c r="M133"/>
  <c r="L133"/>
  <c r="H133"/>
  <c r="G133"/>
  <c r="F133"/>
  <c r="N132"/>
  <c r="M132"/>
  <c r="L132"/>
  <c r="H132"/>
  <c r="G132"/>
  <c r="F132"/>
  <c r="N131"/>
  <c r="M131"/>
  <c r="L131"/>
  <c r="H131"/>
  <c r="G131"/>
  <c r="F131"/>
  <c r="N130"/>
  <c r="M130"/>
  <c r="L130"/>
  <c r="H130"/>
  <c r="G130"/>
  <c r="F130"/>
  <c r="N129"/>
  <c r="M129"/>
  <c r="L129"/>
  <c r="H129"/>
  <c r="G129"/>
  <c r="F129"/>
  <c r="N128"/>
  <c r="M128"/>
  <c r="L128"/>
  <c r="H128"/>
  <c r="G128"/>
  <c r="F128"/>
  <c r="N127"/>
  <c r="M127"/>
  <c r="L127"/>
  <c r="H127"/>
  <c r="G127"/>
  <c r="F127"/>
  <c r="N126"/>
  <c r="M126"/>
  <c r="L126"/>
  <c r="H126"/>
  <c r="G126"/>
  <c r="F126"/>
  <c r="N125"/>
  <c r="M125"/>
  <c r="L125"/>
  <c r="H125"/>
  <c r="G125"/>
  <c r="F125"/>
  <c r="N124"/>
  <c r="M124"/>
  <c r="L124"/>
  <c r="H124"/>
  <c r="G124"/>
  <c r="F124"/>
  <c r="N123"/>
  <c r="M123"/>
  <c r="L123"/>
  <c r="H123"/>
  <c r="G123"/>
  <c r="F123"/>
  <c r="N122"/>
  <c r="M122"/>
  <c r="L122"/>
  <c r="H122"/>
  <c r="G122"/>
  <c r="F122"/>
  <c r="N121"/>
  <c r="M121"/>
  <c r="L121"/>
  <c r="H121"/>
  <c r="G121"/>
  <c r="F121"/>
  <c r="N120"/>
  <c r="M120"/>
  <c r="L120"/>
  <c r="H120"/>
  <c r="G120"/>
  <c r="F120"/>
  <c r="N119"/>
  <c r="M119"/>
  <c r="L119"/>
  <c r="H119"/>
  <c r="G119"/>
  <c r="F119"/>
  <c r="N118"/>
  <c r="M118"/>
  <c r="L118"/>
  <c r="H118"/>
  <c r="G118"/>
  <c r="F118"/>
  <c r="N117"/>
  <c r="M117"/>
  <c r="L117"/>
  <c r="H117"/>
  <c r="G117"/>
  <c r="F117"/>
  <c r="N116"/>
  <c r="M116"/>
  <c r="L116"/>
  <c r="H116"/>
  <c r="G116"/>
  <c r="F116"/>
  <c r="N115"/>
  <c r="M115"/>
  <c r="L115"/>
  <c r="H115"/>
  <c r="G115"/>
  <c r="F115"/>
  <c r="N114"/>
  <c r="M114"/>
  <c r="L114"/>
  <c r="H114"/>
  <c r="G114"/>
  <c r="F114"/>
  <c r="N113"/>
  <c r="M113"/>
  <c r="L113"/>
  <c r="H113"/>
  <c r="G113"/>
  <c r="F113"/>
  <c r="N112"/>
  <c r="M112"/>
  <c r="L112"/>
  <c r="H112"/>
  <c r="G112"/>
  <c r="F112"/>
  <c r="N111"/>
  <c r="M111"/>
  <c r="L111"/>
  <c r="H111"/>
  <c r="G111"/>
  <c r="F111"/>
  <c r="N110"/>
  <c r="M110"/>
  <c r="L110"/>
  <c r="H110"/>
  <c r="G110"/>
  <c r="F110"/>
  <c r="N109"/>
  <c r="M109"/>
  <c r="L109"/>
  <c r="H109"/>
  <c r="G109"/>
  <c r="F109"/>
  <c r="N108"/>
  <c r="M108"/>
  <c r="L108"/>
  <c r="H108"/>
  <c r="G108"/>
  <c r="F108"/>
  <c r="N107"/>
  <c r="M107"/>
  <c r="L107"/>
  <c r="H107"/>
  <c r="G107"/>
  <c r="F107"/>
  <c r="N106"/>
  <c r="M106"/>
  <c r="L106"/>
  <c r="H106"/>
  <c r="G106"/>
  <c r="F106"/>
  <c r="N105"/>
  <c r="M105"/>
  <c r="L105"/>
  <c r="H105"/>
  <c r="G105"/>
  <c r="F105"/>
  <c r="N104"/>
  <c r="M104"/>
  <c r="L104"/>
  <c r="H104"/>
  <c r="G104"/>
  <c r="F104"/>
  <c r="N103"/>
  <c r="M103"/>
  <c r="L103"/>
  <c r="H103"/>
  <c r="G103"/>
  <c r="F103"/>
  <c r="N102"/>
  <c r="M102"/>
  <c r="L102"/>
  <c r="H102"/>
  <c r="G102"/>
  <c r="F102"/>
  <c r="N101"/>
  <c r="M101"/>
  <c r="L101"/>
  <c r="H101"/>
  <c r="G101"/>
  <c r="F101"/>
  <c r="N100"/>
  <c r="M100"/>
  <c r="L100"/>
  <c r="H100"/>
  <c r="G100"/>
  <c r="F100"/>
  <c r="N99"/>
  <c r="M99"/>
  <c r="L99"/>
  <c r="H99"/>
  <c r="G99"/>
  <c r="F99"/>
  <c r="N98"/>
  <c r="M98"/>
  <c r="L98"/>
  <c r="H98"/>
  <c r="G98"/>
  <c r="F98"/>
  <c r="N97"/>
  <c r="M97"/>
  <c r="L97"/>
  <c r="H97"/>
  <c r="G97"/>
  <c r="F97"/>
  <c r="N96"/>
  <c r="M96"/>
  <c r="L96"/>
  <c r="H96"/>
  <c r="G96"/>
  <c r="F96"/>
  <c r="N95"/>
  <c r="M95"/>
  <c r="L95"/>
  <c r="H95"/>
  <c r="G95"/>
  <c r="F95"/>
  <c r="N94"/>
  <c r="M94"/>
  <c r="L94"/>
  <c r="H94"/>
  <c r="G94"/>
  <c r="F94"/>
  <c r="N93"/>
  <c r="M93"/>
  <c r="L93"/>
  <c r="H93"/>
  <c r="G93"/>
  <c r="F93"/>
  <c r="N92"/>
  <c r="M92"/>
  <c r="L92"/>
  <c r="H92"/>
  <c r="G92"/>
  <c r="F92"/>
  <c r="N91"/>
  <c r="M91"/>
  <c r="L91"/>
  <c r="H91"/>
  <c r="G91"/>
  <c r="F91"/>
  <c r="N90"/>
  <c r="M90"/>
  <c r="L90"/>
  <c r="H90"/>
  <c r="G90"/>
  <c r="F90"/>
  <c r="N89"/>
  <c r="M89"/>
  <c r="L89"/>
  <c r="H89"/>
  <c r="G89"/>
  <c r="F89"/>
  <c r="N88"/>
  <c r="M88"/>
  <c r="L88"/>
  <c r="H88"/>
  <c r="G88"/>
  <c r="F88"/>
  <c r="N87"/>
  <c r="M87"/>
  <c r="L87"/>
  <c r="H87"/>
  <c r="G87"/>
  <c r="F87"/>
  <c r="N86"/>
  <c r="M86"/>
  <c r="L86"/>
  <c r="H86"/>
  <c r="G86"/>
  <c r="F86"/>
  <c r="N85"/>
  <c r="M85"/>
  <c r="L85"/>
  <c r="H85"/>
  <c r="G85"/>
  <c r="F85"/>
  <c r="N84"/>
  <c r="M84"/>
  <c r="L84"/>
  <c r="H84"/>
  <c r="G84"/>
  <c r="F84"/>
  <c r="N83"/>
  <c r="M83"/>
  <c r="L83"/>
  <c r="H83"/>
  <c r="G83"/>
  <c r="F83"/>
  <c r="N82"/>
  <c r="M82"/>
  <c r="L82"/>
  <c r="H82"/>
  <c r="G82"/>
  <c r="F82"/>
  <c r="N81"/>
  <c r="M81"/>
  <c r="L81"/>
  <c r="H81"/>
  <c r="G81"/>
  <c r="F81"/>
  <c r="N80"/>
  <c r="M80"/>
  <c r="L80"/>
  <c r="H80"/>
  <c r="G80"/>
  <c r="F80"/>
  <c r="N79"/>
  <c r="M79"/>
  <c r="L79"/>
  <c r="H79"/>
  <c r="G79"/>
  <c r="F79"/>
  <c r="N78"/>
  <c r="M78"/>
  <c r="L78"/>
  <c r="H78"/>
  <c r="G78"/>
  <c r="F78"/>
  <c r="N77"/>
  <c r="M77"/>
  <c r="L77"/>
  <c r="H77"/>
  <c r="G77"/>
  <c r="F77"/>
  <c r="N76"/>
  <c r="M76"/>
  <c r="L76"/>
  <c r="H76"/>
  <c r="G76"/>
  <c r="F76"/>
  <c r="N75"/>
  <c r="M75"/>
  <c r="L75"/>
  <c r="H75"/>
  <c r="G75"/>
  <c r="F75"/>
  <c r="N74"/>
  <c r="M74"/>
  <c r="L74"/>
  <c r="H74"/>
  <c r="G74"/>
  <c r="F74"/>
  <c r="N73"/>
  <c r="M73"/>
  <c r="L73"/>
  <c r="H73"/>
  <c r="G73"/>
  <c r="F73"/>
  <c r="N72"/>
  <c r="M72"/>
  <c r="L72"/>
  <c r="H72"/>
  <c r="G72"/>
  <c r="F72"/>
  <c r="N71"/>
  <c r="M71"/>
  <c r="L71"/>
  <c r="H71"/>
  <c r="G71"/>
  <c r="F71"/>
  <c r="N70"/>
  <c r="M70"/>
  <c r="L70"/>
  <c r="H70"/>
  <c r="G70"/>
  <c r="F70"/>
  <c r="N69"/>
  <c r="M69"/>
  <c r="L69"/>
  <c r="H69"/>
  <c r="G69"/>
  <c r="F69"/>
  <c r="N68"/>
  <c r="M68"/>
  <c r="L68"/>
  <c r="H68"/>
  <c r="G68"/>
  <c r="F68"/>
  <c r="N67"/>
  <c r="M67"/>
  <c r="L67"/>
  <c r="H67"/>
  <c r="G67"/>
  <c r="F67"/>
  <c r="N66"/>
  <c r="M66"/>
  <c r="L66"/>
  <c r="H66"/>
  <c r="G66"/>
  <c r="F66"/>
  <c r="N65"/>
  <c r="M65"/>
  <c r="L65"/>
  <c r="H65"/>
  <c r="G65"/>
  <c r="F65"/>
  <c r="N64"/>
  <c r="M64"/>
  <c r="L64"/>
  <c r="H64"/>
  <c r="G64"/>
  <c r="F64"/>
  <c r="N63"/>
  <c r="M63"/>
  <c r="L63"/>
  <c r="H63"/>
  <c r="G63"/>
  <c r="F63"/>
  <c r="N62"/>
  <c r="M62"/>
  <c r="L62"/>
  <c r="H62"/>
  <c r="G62"/>
  <c r="F62"/>
  <c r="N61"/>
  <c r="M61"/>
  <c r="L61"/>
  <c r="H61"/>
  <c r="G61"/>
  <c r="F61"/>
  <c r="N60"/>
  <c r="M60"/>
  <c r="L60"/>
  <c r="H60"/>
  <c r="G60"/>
  <c r="F60"/>
  <c r="N59"/>
  <c r="M59"/>
  <c r="L59"/>
  <c r="H59"/>
  <c r="G59"/>
  <c r="F59"/>
  <c r="N58"/>
  <c r="M58"/>
  <c r="L58"/>
  <c r="H58"/>
  <c r="G58"/>
  <c r="F58"/>
  <c r="N57"/>
  <c r="M57"/>
  <c r="L57"/>
  <c r="H57"/>
  <c r="G57"/>
  <c r="F57"/>
  <c r="N56"/>
  <c r="M56"/>
  <c r="L56"/>
  <c r="H56"/>
  <c r="G56"/>
  <c r="F56"/>
  <c r="N55"/>
  <c r="M55"/>
  <c r="L55"/>
  <c r="H55"/>
  <c r="G55"/>
  <c r="F55"/>
  <c r="N54"/>
  <c r="M54"/>
  <c r="L54"/>
  <c r="H54"/>
  <c r="G54"/>
  <c r="F54"/>
  <c r="N53"/>
  <c r="M53"/>
  <c r="L53"/>
  <c r="H53"/>
  <c r="G53"/>
  <c r="F53"/>
  <c r="N52"/>
  <c r="M52"/>
  <c r="L52"/>
  <c r="H52"/>
  <c r="G52"/>
  <c r="F52"/>
  <c r="N51"/>
  <c r="M51"/>
  <c r="L51"/>
  <c r="H51"/>
  <c r="G51"/>
  <c r="F51"/>
  <c r="N50"/>
  <c r="M50"/>
  <c r="L50"/>
  <c r="H50"/>
  <c r="G50"/>
  <c r="F50"/>
  <c r="N49"/>
  <c r="M49"/>
  <c r="L49"/>
  <c r="H49"/>
  <c r="G49"/>
  <c r="F49"/>
  <c r="N48"/>
  <c r="M48"/>
  <c r="L48"/>
  <c r="H48"/>
  <c r="G48"/>
  <c r="F48"/>
  <c r="N47"/>
  <c r="M47"/>
  <c r="L47"/>
  <c r="H47"/>
  <c r="G47"/>
  <c r="F47"/>
  <c r="N46"/>
  <c r="M46"/>
  <c r="L46"/>
  <c r="H46"/>
  <c r="G46"/>
  <c r="F46"/>
  <c r="N45"/>
  <c r="M45"/>
  <c r="L45"/>
  <c r="H45"/>
  <c r="G45"/>
  <c r="F45"/>
  <c r="N44"/>
  <c r="M44"/>
  <c r="L44"/>
  <c r="H44"/>
  <c r="G44"/>
  <c r="F44"/>
  <c r="N43"/>
  <c r="M43"/>
  <c r="L43"/>
  <c r="H43"/>
  <c r="G43"/>
  <c r="F43"/>
  <c r="N42"/>
  <c r="M42"/>
  <c r="L42"/>
  <c r="H42"/>
  <c r="G42"/>
  <c r="F42"/>
  <c r="N41"/>
  <c r="M41"/>
  <c r="L41"/>
  <c r="H41"/>
  <c r="G41"/>
  <c r="F41"/>
  <c r="N40"/>
  <c r="M40"/>
  <c r="L40"/>
  <c r="H40"/>
  <c r="G40"/>
  <c r="F40"/>
  <c r="N39"/>
  <c r="M39"/>
  <c r="L39"/>
  <c r="H39"/>
  <c r="G39"/>
  <c r="F39"/>
  <c r="N38"/>
  <c r="M38"/>
  <c r="L38"/>
  <c r="H38"/>
  <c r="G38"/>
  <c r="F38"/>
  <c r="N37"/>
  <c r="M37"/>
  <c r="L37"/>
  <c r="H37"/>
  <c r="G37"/>
  <c r="F37"/>
  <c r="N36"/>
  <c r="M36"/>
  <c r="L36"/>
  <c r="H36"/>
  <c r="G36"/>
  <c r="F36"/>
  <c r="N35"/>
  <c r="M35"/>
  <c r="L35"/>
  <c r="H35"/>
  <c r="G35"/>
  <c r="F35"/>
  <c r="N34"/>
  <c r="M34"/>
  <c r="L34"/>
  <c r="H34"/>
  <c r="G34"/>
  <c r="F34"/>
  <c r="N33"/>
  <c r="M33"/>
  <c r="L33"/>
  <c r="H33"/>
  <c r="G33"/>
  <c r="F33"/>
  <c r="N32"/>
  <c r="M32"/>
  <c r="L32"/>
  <c r="H32"/>
  <c r="G32"/>
  <c r="F32"/>
  <c r="N31"/>
  <c r="M31"/>
  <c r="L31"/>
  <c r="H31"/>
  <c r="G31"/>
  <c r="F31"/>
  <c r="N30"/>
  <c r="M30"/>
  <c r="L30"/>
  <c r="H30"/>
  <c r="G30"/>
  <c r="F30"/>
  <c r="N29"/>
  <c r="M29"/>
  <c r="L29"/>
  <c r="H29"/>
  <c r="G29"/>
  <c r="F29"/>
  <c r="N28"/>
  <c r="M28"/>
  <c r="L28"/>
  <c r="H28"/>
  <c r="G28"/>
  <c r="F28"/>
  <c r="N27"/>
  <c r="M27"/>
  <c r="L27"/>
  <c r="H27"/>
  <c r="G27"/>
  <c r="F27"/>
  <c r="N26"/>
  <c r="M26"/>
  <c r="L26"/>
  <c r="H26"/>
  <c r="G26"/>
  <c r="F26"/>
  <c r="N25"/>
  <c r="M25"/>
  <c r="L25"/>
  <c r="H25"/>
  <c r="G25"/>
  <c r="F25"/>
  <c r="N24"/>
  <c r="M24"/>
  <c r="L24"/>
  <c r="H24"/>
  <c r="G24"/>
  <c r="F24"/>
  <c r="N23"/>
  <c r="M23"/>
  <c r="L23"/>
  <c r="H23"/>
  <c r="G23"/>
  <c r="F23"/>
  <c r="N22"/>
  <c r="M22"/>
  <c r="L22"/>
  <c r="H22"/>
  <c r="G22"/>
  <c r="F22"/>
  <c r="N21"/>
  <c r="M21"/>
  <c r="L21"/>
  <c r="H21"/>
  <c r="G21"/>
  <c r="F21"/>
  <c r="N20"/>
  <c r="M20"/>
  <c r="L20"/>
  <c r="H20"/>
  <c r="G20"/>
  <c r="F20"/>
  <c r="N19"/>
  <c r="M19"/>
  <c r="L19"/>
  <c r="H19"/>
  <c r="G19"/>
  <c r="F19"/>
  <c r="N18"/>
  <c r="M18"/>
  <c r="L18"/>
  <c r="H18"/>
  <c r="G18"/>
  <c r="F18"/>
  <c r="N17"/>
  <c r="M17"/>
  <c r="L17"/>
  <c r="H17"/>
  <c r="G17"/>
  <c r="F17"/>
  <c r="N16"/>
  <c r="M16"/>
  <c r="L16"/>
  <c r="H16"/>
  <c r="G16"/>
  <c r="F16"/>
  <c r="N15"/>
  <c r="M15"/>
  <c r="L15"/>
  <c r="H15"/>
  <c r="G15"/>
  <c r="F15"/>
  <c r="N14"/>
  <c r="M14"/>
  <c r="L14"/>
  <c r="H14"/>
  <c r="G14"/>
  <c r="F14"/>
  <c r="N13"/>
  <c r="M13"/>
  <c r="L13"/>
  <c r="H13"/>
  <c r="G13"/>
  <c r="F13"/>
  <c r="N12"/>
  <c r="M12"/>
  <c r="L12"/>
  <c r="H12"/>
  <c r="G12"/>
  <c r="F12"/>
  <c r="N11"/>
  <c r="M11"/>
  <c r="L11"/>
  <c r="H11"/>
  <c r="G11"/>
  <c r="F11"/>
  <c r="N10"/>
  <c r="M10"/>
  <c r="L10"/>
  <c r="H10"/>
  <c r="G10"/>
  <c r="F10"/>
  <c r="N9"/>
  <c r="M9"/>
  <c r="L9"/>
  <c r="H9"/>
  <c r="G9"/>
  <c r="F9"/>
  <c r="N8"/>
  <c r="M8"/>
  <c r="L8"/>
  <c r="H8"/>
  <c r="G8"/>
  <c r="F8"/>
  <c r="N7"/>
  <c r="M7"/>
  <c r="L7"/>
  <c r="H7"/>
  <c r="G7"/>
  <c r="F7"/>
  <c r="N6"/>
  <c r="M6"/>
  <c r="L6"/>
  <c r="H6"/>
  <c r="G6"/>
  <c r="F6"/>
  <c r="N5"/>
  <c r="M5"/>
  <c r="L5"/>
  <c r="H5"/>
  <c r="G5"/>
  <c r="F5"/>
  <c r="N4"/>
  <c r="M4"/>
  <c r="L4"/>
  <c r="H4"/>
  <c r="G4"/>
  <c r="F4"/>
  <c r="N3"/>
  <c r="M3"/>
  <c r="L3"/>
  <c r="H3"/>
  <c r="G3"/>
  <c r="F3"/>
  <c r="N2"/>
  <c r="M2"/>
  <c r="L2"/>
  <c r="H2"/>
  <c r="G2"/>
  <c r="F2"/>
  <c r="E184" i="2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C4" i="4" l="1"/>
  <c r="C3"/>
  <c r="C2"/>
  <c r="C7"/>
  <c r="C6"/>
</calcChain>
</file>

<file path=xl/sharedStrings.xml><?xml version="1.0" encoding="utf-8"?>
<sst xmlns="http://schemas.openxmlformats.org/spreadsheetml/2006/main" count="282" uniqueCount="69">
  <si>
    <t>AVERAGE SOX OUTLET(mg/m3)</t>
  </si>
  <si>
    <t>AVAERAGE OPACITY (mg/m3)</t>
  </si>
  <si>
    <t>AVERAGE  LOAD(MW)</t>
  </si>
  <si>
    <t xml:space="preserve">MONTH </t>
  </si>
  <si>
    <t>DATE</t>
  </si>
  <si>
    <t>UNIT 1</t>
  </si>
  <si>
    <t>UNIT 2</t>
  </si>
  <si>
    <t>UNIT 3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</si>
  <si>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</si>
  <si>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</si>
  <si>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</si>
  <si>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</si>
  <si>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</si>
  <si>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</si>
  <si>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</si>
  <si>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</si>
  <si>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</si>
  <si>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</si>
  <si>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</si>
  <si>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</si>
  <si>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Date</t>
  </si>
  <si>
    <t>APC_DAILY %</t>
  </si>
  <si>
    <t>APC_YEARLY%</t>
  </si>
  <si>
    <t>Water_Consumption_m3_DAILY</t>
  </si>
  <si>
    <t>Gypsum_Production_MT_daily</t>
  </si>
  <si>
    <t>Gypsum_Sold_MT_DAILY</t>
  </si>
  <si>
    <t>Gypsum_Sold_Trucks_DAILY</t>
  </si>
  <si>
    <t>Limestone_Received_MT</t>
  </si>
  <si>
    <t>Limestone_Received_Trucks</t>
  </si>
  <si>
    <t>Limestone_Consumption_MT</t>
  </si>
  <si>
    <t xml:space="preserve">TOTAL WET BALL MILL RUN HOURS </t>
  </si>
  <si>
    <t>Dewatering_Hours:MIN_DAILY</t>
  </si>
  <si>
    <t>DG_Set_Available</t>
  </si>
  <si>
    <t>YES</t>
  </si>
  <si>
    <t>NO</t>
  </si>
  <si>
    <t>SEP</t>
  </si>
  <si>
    <t>FGD_FGD_Unit 1  Availability_Hours:min</t>
  </si>
  <si>
    <t>FGD_Unit 2 Availability_Hours:min</t>
  </si>
  <si>
    <t>FGD_Unit 3  Availability_Hours:min</t>
  </si>
  <si>
    <t>FGD_ UNIT1 Availability_Pct_Daily</t>
  </si>
  <si>
    <t>FGD_ UNIT2  Availability_Pct_Daily</t>
  </si>
  <si>
    <t>FGD_ UNIT3  Availability_Pct_Daily</t>
  </si>
  <si>
    <t>FGD_ UNIT1 Availability_Pct_monthly</t>
  </si>
  <si>
    <t>FGD_ UNIT2  Availability_Pct_monthly</t>
  </si>
  <si>
    <t>FGD_ UNIT3  Availability_Pct_monthly</t>
  </si>
  <si>
    <t>FGD_UNIT 1 Availability_Pct_YEARLY</t>
  </si>
  <si>
    <t>FGD_UNIT 2 Availability_Pct_YEARLY</t>
  </si>
  <si>
    <t>FGD_UNIT 3 Availability_Pct_YEARLY</t>
  </si>
  <si>
    <t>Deptt./Total defects</t>
  </si>
  <si>
    <t>PERCENTAGE(%)</t>
  </si>
  <si>
    <t>BMD</t>
  </si>
  <si>
    <t>EMD</t>
  </si>
  <si>
    <t>TMD</t>
  </si>
  <si>
    <t>CHP</t>
  </si>
  <si>
    <t>C&amp;I</t>
  </si>
  <si>
    <t>OFFSITE</t>
  </si>
  <si>
    <t>APC_MONTHLY%</t>
  </si>
  <si>
    <t>oct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</si>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</sst>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dd\-mmm\-yyyy"/>
    <numFmt numFmtId="166" formatCode="0.0"/>
  </numFmts>
  <fonts count="16">
    <font>
      <sz val="11"/>
      <color theme="1"/>
      <name val="Calibri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1"/>
      <name val="Calibri"/>
      <family val="2"/>
    </font>
    <font>
      <sz val="15"/>
      <color theme="1"/>
      <name val="Calibri"/>
      <family val="2"/>
    </font>
    <font>
      <b/>
      <sz val="19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14"/>
      <color theme="1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B2D42"/>
      </patternFill>
    </fill>
    <fill>
      <patternFill patternType="solid">
        <fgColor theme="4" tint="0.79992065187536243"/>
        <bgColor indexed="65"/>
      </patternFill>
    </fill>
    <fill>
      <patternFill patternType="solid">
        <fgColor rgb="FFFFFFFF"/>
      </patternFill>
    </fill>
    <fill>
      <patternFill patternType="solid">
        <fgColor rgb="FFFAFDFB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AFDFB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1EB"/>
      </left>
      <right style="thin">
        <color rgb="FFD9E1EB"/>
      </right>
      <top style="thin">
        <color rgb="FFD9E1EB"/>
      </top>
      <bottom style="thin">
        <color rgb="FFD9E1EB"/>
      </bottom>
      <diagonal/>
    </border>
    <border>
      <left style="thin">
        <color rgb="FFD9E1EB"/>
      </left>
      <right style="thin">
        <color rgb="FFD9E1EB"/>
      </right>
      <top style="medium">
        <color rgb="FF0B2447"/>
      </top>
      <bottom style="thin">
        <color rgb="FFD9E1EB"/>
      </bottom>
      <diagonal/>
    </border>
    <border>
      <left style="thin">
        <color rgb="FFD9E1EB"/>
      </left>
      <right style="thin">
        <color rgb="FFD9E1EB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/>
    <xf numFmtId="0" fontId="0" fillId="0" borderId="0" xfId="0"/>
    <xf numFmtId="2" fontId="0" fillId="0" borderId="0" xfId="0" applyNumberFormat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7" fillId="5" borderId="12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0" xfId="0"/>
    <xf numFmtId="165" fontId="0" fillId="0" borderId="0" xfId="0" applyNumberFormat="1" applyFont="1" applyFill="1" applyBorder="1"/>
    <xf numFmtId="0" fontId="1" fillId="0" borderId="1" xfId="0" applyNumberFormat="1" applyFont="1" applyFill="1" applyBorder="1"/>
    <xf numFmtId="0" fontId="3" fillId="0" borderId="1" xfId="0" applyNumberFormat="1" applyFont="1" applyFill="1" applyBorder="1"/>
    <xf numFmtId="0" fontId="4" fillId="3" borderId="1" xfId="0" applyNumberFormat="1" applyFont="1" applyFill="1" applyBorder="1" applyAlignment="1">
      <alignment horizont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0" fillId="0" borderId="13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2" fillId="0" borderId="1" xfId="0" applyNumberFormat="1" applyFont="1" applyFill="1" applyBorder="1" applyAlignment="1">
      <alignment horizontal="right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165" fontId="0" fillId="0" borderId="16" xfId="0" applyNumberFormat="1" applyFont="1" applyFill="1" applyBorder="1"/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12" fillId="3" borderId="17" xfId="0" applyNumberFormat="1" applyFont="1" applyFill="1" applyBorder="1" applyAlignment="1">
      <alignment horizontal="center" wrapText="1"/>
    </xf>
    <xf numFmtId="0" fontId="12" fillId="3" borderId="17" xfId="0" applyNumberFormat="1" applyFont="1" applyFill="1" applyBorder="1" applyAlignment="1">
      <alignment horizontal="center" vertical="center" wrapText="1"/>
    </xf>
    <xf numFmtId="0" fontId="13" fillId="2" borderId="17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right" wrapText="1"/>
    </xf>
    <xf numFmtId="0" fontId="2" fillId="0" borderId="19" xfId="0" applyFont="1" applyBorder="1" applyAlignment="1">
      <alignment horizontal="right" wrapText="1"/>
    </xf>
    <xf numFmtId="0" fontId="2" fillId="0" borderId="19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10" fontId="0" fillId="0" borderId="17" xfId="0" applyNumberFormat="1" applyBorder="1"/>
    <xf numFmtId="10" fontId="8" fillId="0" borderId="17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wrapText="1"/>
    </xf>
    <xf numFmtId="10" fontId="0" fillId="0" borderId="17" xfId="0" applyNumberFormat="1" applyBorder="1" applyAlignment="1">
      <alignment horizontal="center"/>
    </xf>
    <xf numFmtId="0" fontId="5" fillId="7" borderId="2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8" borderId="18" xfId="0" applyFont="1" applyFill="1" applyBorder="1" applyAlignment="1">
      <alignment horizontal="center" wrapText="1"/>
    </xf>
    <xf numFmtId="0" fontId="7" fillId="8" borderId="19" xfId="0" applyFont="1" applyFill="1" applyBorder="1" applyAlignment="1">
      <alignment horizontal="center" wrapText="1"/>
    </xf>
    <xf numFmtId="0" fontId="7" fillId="8" borderId="19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4" fontId="15" fillId="0" borderId="27" xfId="0" applyNumberFormat="1" applyFont="1" applyBorder="1" applyAlignment="1">
      <alignment horizontal="center"/>
    </xf>
    <xf numFmtId="1" fontId="15" fillId="0" borderId="27" xfId="0" applyNumberFormat="1" applyFont="1" applyBorder="1" applyAlignment="1">
      <alignment horizontal="center"/>
    </xf>
    <xf numFmtId="4" fontId="15" fillId="0" borderId="28" xfId="0" applyNumberFormat="1" applyFont="1" applyBorder="1" applyAlignment="1">
      <alignment horizontal="center"/>
    </xf>
    <xf numFmtId="1" fontId="15" fillId="0" borderId="28" xfId="0" applyNumberFormat="1" applyFont="1" applyBorder="1" applyAlignment="1">
      <alignment horizontal="center"/>
    </xf>
    <xf numFmtId="4" fontId="15" fillId="0" borderId="29" xfId="0" applyNumberFormat="1" applyFont="1" applyFill="1" applyBorder="1" applyAlignment="1">
      <alignment horizontal="center"/>
    </xf>
    <xf numFmtId="1" fontId="15" fillId="0" borderId="2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workbookViewId="0">
      <pane ySplit="1" topLeftCell="A110" activePane="bottomLeft" state="frozen"/>
      <selection pane="bottomLeft" activeCell="I186" sqref="I186:K196"/>
    </sheetView>
  </sheetViews>
  <sheetFormatPr defaultRowHeight="15"/>
  <cols>
    <col min="1" max="1" width="18.140625" style="1" customWidth="1"/>
    <col min="2" max="2" width="15.85546875" customWidth="1"/>
    <col min="3" max="3" width="14.5703125" customWidth="1"/>
    <col min="4" max="4" width="19.85546875" customWidth="1"/>
    <col min="5" max="5" width="18" customWidth="1"/>
    <col min="6" max="6" width="15" customWidth="1"/>
    <col min="7" max="7" width="13.5703125" customWidth="1"/>
    <col min="8" max="8" width="17.140625" customWidth="1"/>
    <col min="9" max="9" width="14.28515625" customWidth="1"/>
    <col min="10" max="10" width="14" customWidth="1"/>
    <col min="11" max="11" width="14.5703125" customWidth="1"/>
  </cols>
  <sheetData>
    <row r="1" spans="1:11" s="1" customFormat="1" ht="23.25">
      <c r="A1" s="18"/>
      <c r="B1" s="18"/>
      <c r="C1" s="43" t="s">
        <v>0</v>
      </c>
      <c r="D1" s="43"/>
      <c r="E1" s="43"/>
      <c r="F1" s="43" t="s">
        <v>1</v>
      </c>
      <c r="G1" s="43"/>
      <c r="H1" s="43"/>
      <c r="I1" s="43" t="s">
        <v>2</v>
      </c>
      <c r="J1" s="43"/>
      <c r="K1" s="43"/>
    </row>
    <row r="2" spans="1:11" ht="23.25">
      <c r="A2" s="19" t="s">
        <v>3</v>
      </c>
      <c r="B2" s="19" t="s">
        <v>4</v>
      </c>
      <c r="C2" s="19" t="s">
        <v>5</v>
      </c>
      <c r="D2" s="19" t="s">
        <v>6</v>
      </c>
      <c r="E2" s="19" t="s">
        <v>7</v>
      </c>
      <c r="F2" s="19" t="s">
        <v>5</v>
      </c>
      <c r="G2" s="19" t="s">
        <v>6</v>
      </c>
      <c r="H2" s="19" t="s">
        <v>7</v>
      </c>
      <c r="I2" s="19" t="s">
        <v>5</v>
      </c>
      <c r="J2" s="19" t="s">
        <v>6</v>
      </c>
      <c r="K2" s="19" t="s">
        <v>7</v>
      </c>
    </row>
    <row r="3" spans="1:11">
      <c r="A3" s="44" t="s">
        <v>8</v>
      </c>
      <c r="B3" s="17">
        <v>46113</v>
      </c>
      <c r="C3">
        <v>6.8</v>
      </c>
      <c r="D3">
        <v>10</v>
      </c>
      <c r="E3">
        <v>35</v>
      </c>
      <c r="F3">
        <v>11.94</v>
      </c>
      <c r="G3">
        <v>48</v>
      </c>
      <c r="H3">
        <v>26</v>
      </c>
      <c r="I3">
        <v>656</v>
      </c>
      <c r="J3">
        <v>650</v>
      </c>
      <c r="K3" s="2">
        <v>650</v>
      </c>
    </row>
    <row r="4" spans="1:11">
      <c r="A4" s="44"/>
      <c r="B4" s="17">
        <v>46114</v>
      </c>
      <c r="C4" s="2">
        <v>6.8</v>
      </c>
      <c r="D4" s="2">
        <v>10</v>
      </c>
      <c r="E4" s="2">
        <v>35</v>
      </c>
      <c r="F4" s="2">
        <v>11.94</v>
      </c>
      <c r="G4" s="2">
        <v>48</v>
      </c>
      <c r="H4" s="2">
        <v>26</v>
      </c>
      <c r="I4" s="16">
        <v>656</v>
      </c>
      <c r="J4" s="2">
        <v>650</v>
      </c>
      <c r="K4" s="2">
        <v>650</v>
      </c>
    </row>
    <row r="5" spans="1:11">
      <c r="A5" s="44"/>
      <c r="B5" s="17">
        <v>46115</v>
      </c>
      <c r="C5" s="2">
        <v>6.8</v>
      </c>
      <c r="D5" s="2">
        <v>10</v>
      </c>
      <c r="E5" s="2">
        <v>35</v>
      </c>
      <c r="F5" s="2">
        <v>11.94</v>
      </c>
      <c r="G5" s="2">
        <v>48</v>
      </c>
      <c r="H5" s="2">
        <v>26</v>
      </c>
      <c r="I5" s="16">
        <v>656</v>
      </c>
      <c r="J5" s="2">
        <v>650</v>
      </c>
      <c r="K5" s="2">
        <v>650</v>
      </c>
    </row>
    <row r="6" spans="1:11">
      <c r="A6" s="44"/>
      <c r="B6" s="17">
        <v>46116</v>
      </c>
      <c r="C6" s="2">
        <v>6.8</v>
      </c>
      <c r="D6" s="2">
        <v>10</v>
      </c>
      <c r="E6" s="2">
        <v>35</v>
      </c>
      <c r="F6" s="2">
        <v>11.94</v>
      </c>
      <c r="G6" s="2">
        <v>48</v>
      </c>
      <c r="H6" s="2">
        <v>26</v>
      </c>
      <c r="I6" s="2">
        <v>650</v>
      </c>
      <c r="J6" s="2">
        <v>650</v>
      </c>
      <c r="K6" s="2">
        <v>650</v>
      </c>
    </row>
    <row r="7" spans="1:11">
      <c r="A7" s="44"/>
      <c r="B7" s="17">
        <v>46117</v>
      </c>
      <c r="C7" s="2">
        <v>6.8</v>
      </c>
      <c r="D7" s="2">
        <v>10</v>
      </c>
      <c r="E7" s="2">
        <v>35</v>
      </c>
      <c r="F7" s="2">
        <v>11.94</v>
      </c>
      <c r="G7" s="2">
        <v>48</v>
      </c>
      <c r="H7" s="2">
        <v>26</v>
      </c>
      <c r="I7" s="2">
        <v>650</v>
      </c>
      <c r="J7" s="2">
        <v>650</v>
      </c>
      <c r="K7" s="2">
        <v>650</v>
      </c>
    </row>
    <row r="8" spans="1:11">
      <c r="A8" s="44"/>
      <c r="B8" s="17">
        <v>46118</v>
      </c>
      <c r="C8" s="2">
        <v>6.8</v>
      </c>
      <c r="D8" s="2">
        <v>10</v>
      </c>
      <c r="E8" s="2">
        <v>35</v>
      </c>
      <c r="F8" s="2">
        <v>11.94</v>
      </c>
      <c r="G8" s="2">
        <v>48</v>
      </c>
      <c r="H8" s="2">
        <v>26</v>
      </c>
      <c r="I8" s="2">
        <v>650</v>
      </c>
      <c r="J8" s="2">
        <v>650</v>
      </c>
      <c r="K8" s="2">
        <v>650</v>
      </c>
    </row>
    <row r="9" spans="1:11">
      <c r="A9" s="44"/>
      <c r="B9" s="17">
        <v>46119</v>
      </c>
      <c r="C9" s="2">
        <v>6.8</v>
      </c>
      <c r="D9" s="2">
        <v>10</v>
      </c>
      <c r="E9" s="2">
        <v>35</v>
      </c>
      <c r="F9" s="2">
        <v>11.94</v>
      </c>
      <c r="G9" s="2">
        <v>48</v>
      </c>
      <c r="H9" s="2">
        <v>26</v>
      </c>
      <c r="I9" s="2">
        <v>650</v>
      </c>
      <c r="J9" s="2">
        <v>650</v>
      </c>
      <c r="K9" s="2">
        <v>650</v>
      </c>
    </row>
    <row r="10" spans="1:11">
      <c r="A10" s="44"/>
      <c r="B10" s="17">
        <v>46120</v>
      </c>
      <c r="C10" s="2">
        <v>6.8</v>
      </c>
      <c r="D10" s="2">
        <v>10</v>
      </c>
      <c r="E10" s="2">
        <v>35</v>
      </c>
      <c r="F10" s="2">
        <v>11.94</v>
      </c>
      <c r="G10" s="2">
        <v>48</v>
      </c>
      <c r="H10" s="2">
        <v>26</v>
      </c>
      <c r="I10" s="2">
        <v>650</v>
      </c>
      <c r="J10" s="2">
        <v>650</v>
      </c>
      <c r="K10" s="2">
        <v>650</v>
      </c>
    </row>
    <row r="11" spans="1:11">
      <c r="A11" s="44"/>
      <c r="B11" s="17">
        <v>46121</v>
      </c>
      <c r="C11" s="2">
        <v>6.8</v>
      </c>
      <c r="D11" s="2">
        <v>10</v>
      </c>
      <c r="E11" s="2">
        <v>35</v>
      </c>
      <c r="F11" s="2">
        <v>11.94</v>
      </c>
      <c r="G11" s="2">
        <v>48</v>
      </c>
      <c r="H11" s="2">
        <v>26</v>
      </c>
      <c r="I11" s="2">
        <v>66</v>
      </c>
      <c r="J11" s="2">
        <v>650</v>
      </c>
      <c r="K11" s="2">
        <v>650</v>
      </c>
    </row>
    <row r="12" spans="1:11">
      <c r="A12" s="44"/>
      <c r="B12" s="17">
        <v>46122</v>
      </c>
      <c r="C12" s="2">
        <v>6.8</v>
      </c>
      <c r="D12" s="2">
        <v>10</v>
      </c>
      <c r="E12" s="2">
        <v>35</v>
      </c>
      <c r="F12" s="2">
        <v>11.94</v>
      </c>
      <c r="G12" s="2">
        <v>48</v>
      </c>
      <c r="H12" s="2">
        <v>26</v>
      </c>
      <c r="I12" s="2">
        <v>654</v>
      </c>
      <c r="J12" s="2">
        <v>650</v>
      </c>
      <c r="K12" s="2">
        <v>650</v>
      </c>
    </row>
    <row r="13" spans="1:11">
      <c r="A13" s="44"/>
      <c r="B13" s="17">
        <v>46123</v>
      </c>
      <c r="C13" s="2">
        <v>6.8</v>
      </c>
      <c r="D13" s="2">
        <v>10</v>
      </c>
      <c r="E13" s="2">
        <v>35</v>
      </c>
      <c r="F13" s="2">
        <v>11.94</v>
      </c>
      <c r="G13" s="2">
        <v>48</v>
      </c>
      <c r="H13" s="2">
        <v>26</v>
      </c>
      <c r="I13" s="2">
        <v>650</v>
      </c>
      <c r="J13" s="2">
        <v>650</v>
      </c>
      <c r="K13" s="2">
        <v>650</v>
      </c>
    </row>
    <row r="14" spans="1:11">
      <c r="A14" s="44"/>
      <c r="B14" s="17">
        <v>46124</v>
      </c>
      <c r="C14" s="2">
        <v>6.8</v>
      </c>
      <c r="D14" s="2">
        <v>10</v>
      </c>
      <c r="E14" s="2">
        <v>35</v>
      </c>
      <c r="F14" s="2">
        <v>11.94</v>
      </c>
      <c r="G14" s="2">
        <v>48</v>
      </c>
      <c r="H14" s="2">
        <v>26</v>
      </c>
      <c r="I14" s="2">
        <v>650</v>
      </c>
      <c r="J14" s="2">
        <v>650</v>
      </c>
      <c r="K14" s="2">
        <v>650</v>
      </c>
    </row>
    <row r="15" spans="1:11">
      <c r="A15" s="44"/>
      <c r="B15" s="17">
        <v>46125</v>
      </c>
      <c r="C15" s="2">
        <v>6.8</v>
      </c>
      <c r="D15" s="2">
        <v>10</v>
      </c>
      <c r="E15" s="2">
        <v>35</v>
      </c>
      <c r="F15" s="2">
        <v>11.94</v>
      </c>
      <c r="G15" s="2">
        <v>48</v>
      </c>
      <c r="H15" s="2">
        <v>26</v>
      </c>
      <c r="I15" s="2">
        <v>650</v>
      </c>
      <c r="J15" s="2">
        <v>650</v>
      </c>
      <c r="K15" s="2">
        <v>650</v>
      </c>
    </row>
    <row r="16" spans="1:11">
      <c r="A16" s="44"/>
      <c r="B16" s="17">
        <v>46126</v>
      </c>
      <c r="C16" s="2">
        <v>6.8</v>
      </c>
      <c r="D16" s="2">
        <v>10</v>
      </c>
      <c r="E16" s="2">
        <v>35</v>
      </c>
      <c r="F16" s="2">
        <v>11.94</v>
      </c>
      <c r="G16" s="2">
        <v>48</v>
      </c>
      <c r="H16" s="2">
        <v>26</v>
      </c>
      <c r="I16" s="2">
        <v>644</v>
      </c>
      <c r="J16" s="2">
        <v>650</v>
      </c>
      <c r="K16" s="2">
        <v>650</v>
      </c>
    </row>
    <row r="17" spans="1:11">
      <c r="A17" s="44"/>
      <c r="B17" s="17">
        <v>46127</v>
      </c>
      <c r="C17" s="2">
        <v>6.8</v>
      </c>
      <c r="D17" s="2">
        <v>10</v>
      </c>
      <c r="E17" s="2">
        <v>35</v>
      </c>
      <c r="F17" s="2">
        <v>11.94</v>
      </c>
      <c r="G17" s="2">
        <v>48</v>
      </c>
      <c r="H17" s="2">
        <v>26</v>
      </c>
      <c r="I17" s="2">
        <v>650</v>
      </c>
      <c r="J17" s="2">
        <v>650</v>
      </c>
      <c r="K17" s="2">
        <v>650</v>
      </c>
    </row>
    <row r="18" spans="1:11">
      <c r="A18" s="44"/>
      <c r="B18" s="17">
        <v>46128</v>
      </c>
      <c r="C18" s="2">
        <v>6.8</v>
      </c>
      <c r="D18" s="2">
        <v>10</v>
      </c>
      <c r="E18" s="2">
        <v>35</v>
      </c>
      <c r="F18" s="2">
        <v>11.94</v>
      </c>
      <c r="G18" s="2">
        <v>48</v>
      </c>
      <c r="H18" s="2">
        <v>26</v>
      </c>
      <c r="I18" s="2">
        <v>650</v>
      </c>
      <c r="J18" s="2">
        <v>650</v>
      </c>
      <c r="K18" s="2">
        <v>650</v>
      </c>
    </row>
    <row r="19" spans="1:11">
      <c r="A19" s="44"/>
      <c r="B19" s="17">
        <v>46129</v>
      </c>
      <c r="C19" s="2">
        <v>6.8</v>
      </c>
      <c r="D19" s="2">
        <v>10</v>
      </c>
      <c r="E19" s="2">
        <v>35</v>
      </c>
      <c r="F19" s="2">
        <v>11.94</v>
      </c>
      <c r="G19" s="2">
        <v>48</v>
      </c>
      <c r="H19" s="2">
        <v>26</v>
      </c>
      <c r="I19" s="2">
        <v>650</v>
      </c>
      <c r="J19" s="2">
        <v>650</v>
      </c>
      <c r="K19" s="2">
        <v>650</v>
      </c>
    </row>
    <row r="20" spans="1:11">
      <c r="A20" s="44"/>
      <c r="B20" s="17">
        <v>46130</v>
      </c>
      <c r="C20" s="2">
        <v>6.8</v>
      </c>
      <c r="D20" s="2">
        <v>10</v>
      </c>
      <c r="E20" s="2">
        <v>35</v>
      </c>
      <c r="F20" s="2">
        <v>11.94</v>
      </c>
      <c r="G20" s="2">
        <v>48</v>
      </c>
      <c r="H20" s="2">
        <v>26</v>
      </c>
      <c r="I20" s="2">
        <v>650</v>
      </c>
      <c r="J20" s="2">
        <v>650</v>
      </c>
      <c r="K20" s="2">
        <v>650</v>
      </c>
    </row>
    <row r="21" spans="1:11">
      <c r="A21" s="44"/>
      <c r="B21" s="17">
        <v>46131</v>
      </c>
      <c r="C21" s="2">
        <v>6.8</v>
      </c>
      <c r="D21" s="2">
        <v>10</v>
      </c>
      <c r="E21" s="2">
        <v>35</v>
      </c>
      <c r="F21" s="2">
        <v>11.94</v>
      </c>
      <c r="G21" s="2">
        <v>48</v>
      </c>
      <c r="H21" s="2">
        <v>26</v>
      </c>
      <c r="I21" s="2">
        <v>650</v>
      </c>
      <c r="J21" s="2">
        <v>650</v>
      </c>
      <c r="K21" s="2">
        <v>650</v>
      </c>
    </row>
    <row r="22" spans="1:11">
      <c r="A22" s="44"/>
      <c r="B22" s="17">
        <v>46132</v>
      </c>
      <c r="C22" s="2">
        <v>6.8</v>
      </c>
      <c r="D22" s="2">
        <v>10</v>
      </c>
      <c r="E22" s="2">
        <v>35</v>
      </c>
      <c r="F22" s="2">
        <v>11.94</v>
      </c>
      <c r="G22" s="2">
        <v>48</v>
      </c>
      <c r="H22" s="2">
        <v>26</v>
      </c>
      <c r="I22" s="2">
        <v>650</v>
      </c>
      <c r="J22" s="2">
        <v>650</v>
      </c>
      <c r="K22" s="2">
        <v>650</v>
      </c>
    </row>
    <row r="23" spans="1:11">
      <c r="A23" s="44"/>
      <c r="B23" s="17">
        <v>46133</v>
      </c>
      <c r="C23" s="2">
        <v>6.8</v>
      </c>
      <c r="D23" s="2">
        <v>10</v>
      </c>
      <c r="E23" s="2">
        <v>35</v>
      </c>
      <c r="F23" s="2">
        <v>11.94</v>
      </c>
      <c r="G23" s="2">
        <v>48</v>
      </c>
      <c r="H23" s="2">
        <v>26</v>
      </c>
      <c r="I23" s="2">
        <v>650</v>
      </c>
      <c r="J23" s="2">
        <v>650</v>
      </c>
      <c r="K23" s="2">
        <v>650</v>
      </c>
    </row>
    <row r="24" spans="1:11">
      <c r="A24" s="44"/>
      <c r="B24" s="17">
        <v>46134</v>
      </c>
      <c r="C24" s="2">
        <v>6.8</v>
      </c>
      <c r="D24" s="2">
        <v>10</v>
      </c>
      <c r="E24" s="2">
        <v>35</v>
      </c>
      <c r="F24" s="2">
        <v>11.94</v>
      </c>
      <c r="G24" s="2">
        <v>48</v>
      </c>
      <c r="H24" s="2">
        <v>26</v>
      </c>
      <c r="I24" s="2">
        <v>650</v>
      </c>
      <c r="J24" s="2">
        <v>650</v>
      </c>
      <c r="K24" s="2">
        <v>650</v>
      </c>
    </row>
    <row r="25" spans="1:11">
      <c r="A25" s="44"/>
      <c r="B25" s="17">
        <v>46135</v>
      </c>
      <c r="C25" s="2">
        <v>6.8</v>
      </c>
      <c r="D25" s="2">
        <v>10</v>
      </c>
      <c r="E25" s="2">
        <v>35</v>
      </c>
      <c r="F25" s="2">
        <v>11.94</v>
      </c>
      <c r="G25" s="2">
        <v>48</v>
      </c>
      <c r="H25" s="2">
        <v>26</v>
      </c>
      <c r="I25" s="2">
        <v>650</v>
      </c>
      <c r="J25" s="2">
        <v>650</v>
      </c>
      <c r="K25" s="2">
        <v>650</v>
      </c>
    </row>
    <row r="26" spans="1:11">
      <c r="A26" s="44"/>
      <c r="B26" s="17">
        <v>46136</v>
      </c>
      <c r="C26" s="2">
        <v>6.8</v>
      </c>
      <c r="D26" s="2">
        <v>10</v>
      </c>
      <c r="E26" s="2">
        <v>35</v>
      </c>
      <c r="F26" s="2">
        <v>11.94</v>
      </c>
      <c r="G26" s="2">
        <v>48</v>
      </c>
      <c r="H26" s="2">
        <v>26</v>
      </c>
      <c r="I26" s="2">
        <v>66</v>
      </c>
      <c r="J26" s="2">
        <v>650</v>
      </c>
      <c r="K26" s="2">
        <v>650</v>
      </c>
    </row>
    <row r="27" spans="1:11">
      <c r="A27" s="44"/>
      <c r="B27" s="17">
        <v>46137</v>
      </c>
      <c r="C27" s="2">
        <v>6.8</v>
      </c>
      <c r="D27" s="2">
        <v>10</v>
      </c>
      <c r="E27" s="2">
        <v>35</v>
      </c>
      <c r="F27" s="2">
        <v>11.94</v>
      </c>
      <c r="G27" s="2">
        <v>48</v>
      </c>
      <c r="H27" s="2">
        <v>26</v>
      </c>
      <c r="I27" s="2">
        <v>650</v>
      </c>
      <c r="J27" s="2">
        <v>650</v>
      </c>
      <c r="K27" s="2">
        <v>650</v>
      </c>
    </row>
    <row r="28" spans="1:11">
      <c r="A28" s="44"/>
      <c r="B28" s="17">
        <v>46138</v>
      </c>
      <c r="C28" s="2">
        <v>6.8</v>
      </c>
      <c r="D28" s="2">
        <v>10</v>
      </c>
      <c r="E28" s="2">
        <v>35</v>
      </c>
      <c r="F28" s="2">
        <v>11.94</v>
      </c>
      <c r="G28" s="2">
        <v>48</v>
      </c>
      <c r="H28" s="2">
        <v>26</v>
      </c>
      <c r="I28" s="2">
        <v>650</v>
      </c>
      <c r="J28" s="2">
        <v>650</v>
      </c>
      <c r="K28" s="2">
        <v>650</v>
      </c>
    </row>
    <row r="29" spans="1:11">
      <c r="A29" s="44"/>
      <c r="B29" s="17">
        <v>46139</v>
      </c>
      <c r="C29" s="2">
        <v>6.8</v>
      </c>
      <c r="D29" s="2">
        <v>10</v>
      </c>
      <c r="E29" s="2">
        <v>35</v>
      </c>
      <c r="F29" s="2">
        <v>11.94</v>
      </c>
      <c r="G29" s="2">
        <v>48</v>
      </c>
      <c r="H29" s="2">
        <v>26</v>
      </c>
      <c r="I29" s="2">
        <v>650</v>
      </c>
      <c r="J29" s="2">
        <v>650</v>
      </c>
      <c r="K29" s="2">
        <v>650</v>
      </c>
    </row>
    <row r="30" spans="1:11">
      <c r="A30" s="44"/>
      <c r="B30" s="17">
        <v>46140</v>
      </c>
      <c r="C30" s="2">
        <v>6.8</v>
      </c>
      <c r="D30" s="2">
        <v>10</v>
      </c>
      <c r="E30" s="2">
        <v>35</v>
      </c>
      <c r="F30" s="2">
        <v>11.94</v>
      </c>
      <c r="G30" s="2">
        <v>48</v>
      </c>
      <c r="H30" s="2">
        <v>26</v>
      </c>
      <c r="I30" s="2">
        <v>671</v>
      </c>
      <c r="J30" s="2">
        <v>650</v>
      </c>
      <c r="K30" s="2">
        <v>650</v>
      </c>
    </row>
    <row r="31" spans="1:11">
      <c r="A31" s="44"/>
      <c r="B31" s="17">
        <v>46141</v>
      </c>
      <c r="C31" s="2">
        <v>6.8</v>
      </c>
      <c r="D31" s="2">
        <v>10</v>
      </c>
      <c r="E31" s="2">
        <v>35</v>
      </c>
      <c r="F31" s="2">
        <v>11.94</v>
      </c>
      <c r="G31" s="2">
        <v>48</v>
      </c>
      <c r="H31" s="2">
        <v>26</v>
      </c>
      <c r="I31" s="2">
        <v>650</v>
      </c>
      <c r="J31" s="2">
        <v>650</v>
      </c>
      <c r="K31" s="2">
        <v>650</v>
      </c>
    </row>
    <row r="32" spans="1:11">
      <c r="A32" s="45"/>
      <c r="B32" s="17">
        <v>46142</v>
      </c>
      <c r="C32" s="2">
        <v>6.8</v>
      </c>
      <c r="D32" s="2">
        <v>10</v>
      </c>
      <c r="E32" s="2">
        <v>35</v>
      </c>
      <c r="F32" s="2">
        <v>11.94</v>
      </c>
      <c r="G32" s="2">
        <v>48</v>
      </c>
      <c r="H32" s="2">
        <v>26</v>
      </c>
      <c r="I32" s="2">
        <v>666</v>
      </c>
      <c r="J32" s="2">
        <v>650</v>
      </c>
      <c r="K32" s="2">
        <v>650</v>
      </c>
    </row>
    <row r="33" spans="1:11">
      <c r="A33" s="46" t="s">
        <v>9</v>
      </c>
      <c r="B33" s="17">
        <v>46143</v>
      </c>
      <c r="C33" s="2">
        <v>6.8</v>
      </c>
      <c r="D33" s="2">
        <v>10</v>
      </c>
      <c r="E33" s="2">
        <v>35</v>
      </c>
      <c r="F33" s="2">
        <v>11.94</v>
      </c>
      <c r="G33" s="2">
        <v>48</v>
      </c>
      <c r="H33" s="2">
        <v>26</v>
      </c>
      <c r="I33" s="16">
        <v>667</v>
      </c>
      <c r="J33" s="2">
        <v>650</v>
      </c>
      <c r="K33" s="2">
        <v>650</v>
      </c>
    </row>
    <row r="34" spans="1:11">
      <c r="A34" s="44"/>
      <c r="B34" s="17">
        <v>46144</v>
      </c>
      <c r="C34" s="2">
        <v>6.8</v>
      </c>
      <c r="D34" s="2">
        <v>10</v>
      </c>
      <c r="E34" s="2">
        <v>35</v>
      </c>
      <c r="F34" s="2">
        <v>11.94</v>
      </c>
      <c r="G34" s="2">
        <v>48</v>
      </c>
      <c r="H34" s="2">
        <v>26</v>
      </c>
      <c r="I34" s="16">
        <v>668</v>
      </c>
      <c r="J34" s="2">
        <v>650</v>
      </c>
      <c r="K34" s="2">
        <v>650</v>
      </c>
    </row>
    <row r="35" spans="1:11">
      <c r="A35" s="44"/>
      <c r="B35" s="17">
        <v>46145</v>
      </c>
      <c r="C35" s="2">
        <v>6.8</v>
      </c>
      <c r="D35" s="2">
        <v>10</v>
      </c>
      <c r="E35" s="2">
        <v>35</v>
      </c>
      <c r="F35" s="2">
        <v>11.94</v>
      </c>
      <c r="G35" s="2">
        <v>48</v>
      </c>
      <c r="H35" s="2">
        <v>26</v>
      </c>
      <c r="I35" s="2">
        <v>650</v>
      </c>
      <c r="J35" s="2">
        <v>650</v>
      </c>
      <c r="K35" s="2">
        <v>650</v>
      </c>
    </row>
    <row r="36" spans="1:11">
      <c r="A36" s="44"/>
      <c r="B36" s="17">
        <v>46146</v>
      </c>
      <c r="C36" s="2">
        <v>6.8</v>
      </c>
      <c r="D36" s="2">
        <v>10</v>
      </c>
      <c r="E36" s="2">
        <v>35</v>
      </c>
      <c r="F36" s="2">
        <v>11.94</v>
      </c>
      <c r="G36" s="2">
        <v>48</v>
      </c>
      <c r="H36" s="2">
        <v>26</v>
      </c>
      <c r="I36" s="2">
        <v>650</v>
      </c>
      <c r="J36" s="2">
        <v>650</v>
      </c>
      <c r="K36" s="2">
        <v>650</v>
      </c>
    </row>
    <row r="37" spans="1:11">
      <c r="A37" s="44"/>
      <c r="B37" s="17">
        <v>46147</v>
      </c>
      <c r="C37" s="2">
        <v>6.8</v>
      </c>
      <c r="D37" s="2">
        <v>10</v>
      </c>
      <c r="E37" s="2">
        <v>35</v>
      </c>
      <c r="F37" s="2">
        <v>11.94</v>
      </c>
      <c r="G37" s="2">
        <v>48</v>
      </c>
      <c r="H37" s="2">
        <v>26</v>
      </c>
      <c r="I37" s="2">
        <v>650</v>
      </c>
      <c r="J37" s="2">
        <v>650</v>
      </c>
      <c r="K37" s="2">
        <v>650</v>
      </c>
    </row>
    <row r="38" spans="1:11">
      <c r="A38" s="44"/>
      <c r="B38" s="17">
        <v>46148</v>
      </c>
      <c r="C38" s="2">
        <v>6.8</v>
      </c>
      <c r="D38" s="2">
        <v>10</v>
      </c>
      <c r="E38" s="2">
        <v>35</v>
      </c>
      <c r="F38" s="2">
        <v>11.94</v>
      </c>
      <c r="G38" s="2">
        <v>48</v>
      </c>
      <c r="H38" s="2">
        <v>26</v>
      </c>
      <c r="I38" s="2">
        <v>650</v>
      </c>
      <c r="J38" s="2">
        <v>650</v>
      </c>
      <c r="K38" s="2">
        <v>650</v>
      </c>
    </row>
    <row r="39" spans="1:11">
      <c r="A39" s="44"/>
      <c r="B39" s="17">
        <v>46149</v>
      </c>
      <c r="C39" s="2">
        <v>6.8</v>
      </c>
      <c r="D39" s="2">
        <v>10</v>
      </c>
      <c r="E39" s="2">
        <v>35</v>
      </c>
      <c r="F39" s="2">
        <v>11.94</v>
      </c>
      <c r="G39" s="2">
        <v>48</v>
      </c>
      <c r="H39" s="2">
        <v>26</v>
      </c>
      <c r="I39" s="2">
        <v>650</v>
      </c>
      <c r="J39" s="2">
        <v>650</v>
      </c>
      <c r="K39" s="2">
        <v>650</v>
      </c>
    </row>
    <row r="40" spans="1:11">
      <c r="A40" s="44"/>
      <c r="B40" s="17">
        <v>46150</v>
      </c>
      <c r="C40" s="2">
        <v>6.8</v>
      </c>
      <c r="D40" s="2">
        <v>10</v>
      </c>
      <c r="E40" s="2">
        <v>35</v>
      </c>
      <c r="F40" s="2">
        <v>11.94</v>
      </c>
      <c r="G40" s="2">
        <v>48</v>
      </c>
      <c r="H40" s="2">
        <v>26</v>
      </c>
      <c r="I40" s="2">
        <v>650</v>
      </c>
      <c r="J40" s="2">
        <v>650</v>
      </c>
      <c r="K40" s="2">
        <v>650</v>
      </c>
    </row>
    <row r="41" spans="1:11">
      <c r="A41" s="44"/>
      <c r="B41" s="17">
        <v>46151</v>
      </c>
      <c r="C41" s="2">
        <v>6.8</v>
      </c>
      <c r="D41" s="2">
        <v>10</v>
      </c>
      <c r="E41" s="2">
        <v>35</v>
      </c>
      <c r="F41" s="2">
        <v>11.94</v>
      </c>
      <c r="G41" s="2">
        <v>48</v>
      </c>
      <c r="H41" s="2">
        <v>26</v>
      </c>
      <c r="I41" s="2">
        <v>650</v>
      </c>
      <c r="J41" s="2">
        <v>650</v>
      </c>
      <c r="K41" s="2">
        <v>650</v>
      </c>
    </row>
    <row r="42" spans="1:11">
      <c r="A42" s="44"/>
      <c r="B42" s="17">
        <v>46152</v>
      </c>
      <c r="C42" s="2">
        <v>6.8</v>
      </c>
      <c r="D42" s="2">
        <v>10</v>
      </c>
      <c r="E42" s="2">
        <v>35</v>
      </c>
      <c r="F42" s="2">
        <v>11.94</v>
      </c>
      <c r="G42" s="2">
        <v>48</v>
      </c>
      <c r="H42" s="2">
        <v>26</v>
      </c>
      <c r="I42" s="2">
        <v>650</v>
      </c>
      <c r="J42" s="2">
        <v>650</v>
      </c>
      <c r="K42" s="2">
        <v>650</v>
      </c>
    </row>
    <row r="43" spans="1:11">
      <c r="A43" s="44"/>
      <c r="B43" s="17">
        <v>46153</v>
      </c>
      <c r="C43" s="2">
        <v>6.8</v>
      </c>
      <c r="D43" s="2">
        <v>10</v>
      </c>
      <c r="E43" s="2">
        <v>35</v>
      </c>
      <c r="F43" s="2">
        <v>11.94</v>
      </c>
      <c r="G43" s="2">
        <v>48</v>
      </c>
      <c r="H43" s="2">
        <v>26</v>
      </c>
      <c r="I43" s="2">
        <v>650</v>
      </c>
      <c r="J43" s="2">
        <v>650</v>
      </c>
      <c r="K43" s="2">
        <v>650</v>
      </c>
    </row>
    <row r="44" spans="1:11">
      <c r="A44" s="44"/>
      <c r="B44" s="17">
        <v>46154</v>
      </c>
      <c r="C44" s="2">
        <v>6.8</v>
      </c>
      <c r="D44" s="2">
        <v>10</v>
      </c>
      <c r="E44" s="2">
        <v>35</v>
      </c>
      <c r="F44" s="2">
        <v>11.94</v>
      </c>
      <c r="G44" s="2">
        <v>48</v>
      </c>
      <c r="H44" s="2">
        <v>26</v>
      </c>
      <c r="I44" s="2">
        <v>650</v>
      </c>
      <c r="J44" s="2">
        <v>650</v>
      </c>
      <c r="K44" s="2">
        <v>650</v>
      </c>
    </row>
    <row r="45" spans="1:11">
      <c r="A45" s="44"/>
      <c r="B45" s="17">
        <v>46155</v>
      </c>
      <c r="C45" s="2">
        <v>6.8</v>
      </c>
      <c r="D45" s="2">
        <v>10</v>
      </c>
      <c r="E45" s="2">
        <v>35</v>
      </c>
      <c r="F45" s="2">
        <v>11.94</v>
      </c>
      <c r="G45" s="2">
        <v>48</v>
      </c>
      <c r="H45" s="2">
        <v>26</v>
      </c>
      <c r="I45" s="2">
        <v>650</v>
      </c>
      <c r="J45" s="2">
        <v>650</v>
      </c>
      <c r="K45" s="2">
        <v>650</v>
      </c>
    </row>
    <row r="46" spans="1:11">
      <c r="A46" s="44"/>
      <c r="B46" s="17">
        <v>46156</v>
      </c>
      <c r="C46" s="2">
        <v>6.8</v>
      </c>
      <c r="D46" s="2">
        <v>10</v>
      </c>
      <c r="E46" s="2">
        <v>35</v>
      </c>
      <c r="F46" s="2">
        <v>11.94</v>
      </c>
      <c r="G46" s="2">
        <v>48</v>
      </c>
      <c r="H46" s="2">
        <v>26</v>
      </c>
      <c r="I46" s="2">
        <v>636</v>
      </c>
      <c r="J46" s="2">
        <v>650</v>
      </c>
      <c r="K46" s="2">
        <v>650</v>
      </c>
    </row>
    <row r="47" spans="1:11">
      <c r="A47" s="44"/>
      <c r="B47" s="17">
        <v>46157</v>
      </c>
      <c r="C47" s="2">
        <v>6.8</v>
      </c>
      <c r="D47" s="2">
        <v>10</v>
      </c>
      <c r="E47" s="2">
        <v>35</v>
      </c>
      <c r="F47" s="2">
        <v>11.94</v>
      </c>
      <c r="G47" s="2">
        <v>48</v>
      </c>
      <c r="H47" s="2">
        <v>26</v>
      </c>
      <c r="I47" s="16">
        <v>637</v>
      </c>
      <c r="J47" s="2">
        <v>650</v>
      </c>
      <c r="K47" s="2">
        <v>650</v>
      </c>
    </row>
    <row r="48" spans="1:11">
      <c r="A48" s="44"/>
      <c r="B48" s="17">
        <v>46158</v>
      </c>
      <c r="C48" s="2">
        <v>6.8</v>
      </c>
      <c r="D48" s="2">
        <v>10</v>
      </c>
      <c r="E48" s="2">
        <v>35</v>
      </c>
      <c r="F48" s="2">
        <v>11.94</v>
      </c>
      <c r="G48" s="2">
        <v>48</v>
      </c>
      <c r="H48" s="2">
        <v>26</v>
      </c>
      <c r="I48" s="16">
        <v>638</v>
      </c>
      <c r="J48" s="2">
        <v>650</v>
      </c>
      <c r="K48" s="2">
        <v>650</v>
      </c>
    </row>
    <row r="49" spans="1:11">
      <c r="A49" s="44"/>
      <c r="B49" s="17">
        <v>46159</v>
      </c>
      <c r="C49" s="2">
        <v>6.8</v>
      </c>
      <c r="D49" s="2">
        <v>10</v>
      </c>
      <c r="E49" s="2">
        <v>35</v>
      </c>
      <c r="F49" s="2">
        <v>11.94</v>
      </c>
      <c r="G49" s="2">
        <v>48</v>
      </c>
      <c r="H49" s="2">
        <v>26</v>
      </c>
      <c r="I49" s="16">
        <v>639</v>
      </c>
      <c r="J49" s="2">
        <v>650</v>
      </c>
      <c r="K49" s="2">
        <v>650</v>
      </c>
    </row>
    <row r="50" spans="1:11">
      <c r="A50" s="44"/>
      <c r="B50" s="17">
        <v>46160</v>
      </c>
      <c r="C50" s="2">
        <v>6.8</v>
      </c>
      <c r="D50" s="2">
        <v>10</v>
      </c>
      <c r="E50" s="2">
        <v>35</v>
      </c>
      <c r="F50" s="2">
        <v>11.94</v>
      </c>
      <c r="G50" s="2">
        <v>48</v>
      </c>
      <c r="H50" s="2">
        <v>26</v>
      </c>
      <c r="I50" s="16">
        <v>640</v>
      </c>
      <c r="J50" s="2">
        <v>650</v>
      </c>
      <c r="K50" s="2">
        <v>650</v>
      </c>
    </row>
    <row r="51" spans="1:11">
      <c r="A51" s="44"/>
      <c r="B51" s="17">
        <v>46161</v>
      </c>
      <c r="C51" s="2">
        <v>6.8</v>
      </c>
      <c r="D51" s="2">
        <v>10</v>
      </c>
      <c r="E51" s="2">
        <v>35</v>
      </c>
      <c r="F51" s="2">
        <v>11.94</v>
      </c>
      <c r="G51" s="2">
        <v>48</v>
      </c>
      <c r="H51" s="2">
        <v>26</v>
      </c>
      <c r="I51" s="16">
        <v>641</v>
      </c>
      <c r="J51" s="2">
        <v>650</v>
      </c>
      <c r="K51" s="2">
        <v>650</v>
      </c>
    </row>
    <row r="52" spans="1:11">
      <c r="A52" s="44"/>
      <c r="B52" s="17">
        <v>46162</v>
      </c>
      <c r="C52" s="2">
        <v>6.8</v>
      </c>
      <c r="D52" s="2">
        <v>10</v>
      </c>
      <c r="E52" s="2">
        <v>35</v>
      </c>
      <c r="F52" s="2">
        <v>11.94</v>
      </c>
      <c r="G52" s="2">
        <v>48</v>
      </c>
      <c r="H52" s="2">
        <v>26</v>
      </c>
      <c r="I52" s="16">
        <v>642</v>
      </c>
      <c r="J52" s="2">
        <v>650</v>
      </c>
      <c r="K52" s="2">
        <v>650</v>
      </c>
    </row>
    <row r="53" spans="1:11">
      <c r="A53" s="44"/>
      <c r="B53" s="17">
        <v>46163</v>
      </c>
      <c r="C53" s="2">
        <v>6.8</v>
      </c>
      <c r="D53" s="2">
        <v>10</v>
      </c>
      <c r="E53" s="2">
        <v>35</v>
      </c>
      <c r="F53" s="2">
        <v>11.94</v>
      </c>
      <c r="G53" s="2">
        <v>48</v>
      </c>
      <c r="H53" s="2">
        <v>26</v>
      </c>
      <c r="I53" s="16">
        <v>643</v>
      </c>
      <c r="J53" s="2">
        <v>650</v>
      </c>
      <c r="K53" s="2">
        <v>650</v>
      </c>
    </row>
    <row r="54" spans="1:11">
      <c r="A54" s="44"/>
      <c r="B54" s="17">
        <v>46164</v>
      </c>
      <c r="C54" s="2">
        <v>6.8</v>
      </c>
      <c r="D54" s="2">
        <v>10</v>
      </c>
      <c r="E54" s="2">
        <v>35</v>
      </c>
      <c r="F54" s="2">
        <v>11.94</v>
      </c>
      <c r="G54" s="2">
        <v>48</v>
      </c>
      <c r="H54" s="2">
        <v>26</v>
      </c>
      <c r="I54" s="16">
        <v>644</v>
      </c>
      <c r="J54" s="2">
        <v>650</v>
      </c>
      <c r="K54" s="2">
        <v>650</v>
      </c>
    </row>
    <row r="55" spans="1:11">
      <c r="A55" s="44"/>
      <c r="B55" s="17">
        <v>46165</v>
      </c>
      <c r="C55" s="2">
        <v>6.8</v>
      </c>
      <c r="D55" s="2">
        <v>10</v>
      </c>
      <c r="E55" s="2">
        <v>35</v>
      </c>
      <c r="F55" s="2">
        <v>11.94</v>
      </c>
      <c r="G55" s="2">
        <v>48</v>
      </c>
      <c r="H55" s="2">
        <v>26</v>
      </c>
      <c r="I55" s="2">
        <v>650</v>
      </c>
      <c r="J55" s="2">
        <v>650</v>
      </c>
      <c r="K55" s="2">
        <v>650</v>
      </c>
    </row>
    <row r="56" spans="1:11">
      <c r="A56" s="44"/>
      <c r="B56" s="17">
        <v>46166</v>
      </c>
      <c r="C56" s="2">
        <v>6.8</v>
      </c>
      <c r="D56" s="2">
        <v>10</v>
      </c>
      <c r="E56" s="2">
        <v>35</v>
      </c>
      <c r="F56" s="2">
        <v>11.94</v>
      </c>
      <c r="G56" s="2">
        <v>48</v>
      </c>
      <c r="H56" s="2">
        <v>26</v>
      </c>
      <c r="I56" s="2">
        <v>650</v>
      </c>
      <c r="J56" s="2">
        <v>650</v>
      </c>
      <c r="K56" s="2">
        <v>650</v>
      </c>
    </row>
    <row r="57" spans="1:11">
      <c r="A57" s="44"/>
      <c r="B57" s="17">
        <v>46167</v>
      </c>
      <c r="C57" s="2">
        <v>6.8</v>
      </c>
      <c r="D57" s="2">
        <v>10</v>
      </c>
      <c r="E57" s="2">
        <v>35</v>
      </c>
      <c r="F57" s="2">
        <v>11.94</v>
      </c>
      <c r="G57" s="2">
        <v>48</v>
      </c>
      <c r="H57" s="2">
        <v>26</v>
      </c>
      <c r="I57" s="2">
        <v>650</v>
      </c>
      <c r="J57" s="2">
        <v>650</v>
      </c>
      <c r="K57" s="2">
        <v>650</v>
      </c>
    </row>
    <row r="58" spans="1:11">
      <c r="A58" s="44"/>
      <c r="B58" s="17">
        <v>46168</v>
      </c>
      <c r="C58" s="2">
        <v>6.8</v>
      </c>
      <c r="D58" s="2">
        <v>10</v>
      </c>
      <c r="E58" s="2">
        <v>35</v>
      </c>
      <c r="F58" s="2">
        <v>11.94</v>
      </c>
      <c r="G58" s="2">
        <v>48</v>
      </c>
      <c r="H58" s="2">
        <v>26</v>
      </c>
      <c r="I58" s="2">
        <v>650</v>
      </c>
      <c r="J58" s="2">
        <v>650</v>
      </c>
      <c r="K58" s="2">
        <v>650</v>
      </c>
    </row>
    <row r="59" spans="1:11">
      <c r="A59" s="44"/>
      <c r="B59" s="17">
        <v>46169</v>
      </c>
      <c r="C59" s="2">
        <v>6.8</v>
      </c>
      <c r="D59" s="2">
        <v>10</v>
      </c>
      <c r="E59" s="2">
        <v>35</v>
      </c>
      <c r="F59" s="2">
        <v>11.94</v>
      </c>
      <c r="G59" s="2">
        <v>48</v>
      </c>
      <c r="H59" s="2">
        <v>26</v>
      </c>
      <c r="I59" s="2">
        <v>650</v>
      </c>
      <c r="J59" s="2">
        <v>650</v>
      </c>
      <c r="K59" s="2">
        <v>650</v>
      </c>
    </row>
    <row r="60" spans="1:11">
      <c r="A60" s="44"/>
      <c r="B60" s="17">
        <v>46170</v>
      </c>
      <c r="C60" s="2">
        <v>6.8</v>
      </c>
      <c r="D60" s="2">
        <v>10</v>
      </c>
      <c r="E60" s="2">
        <v>35</v>
      </c>
      <c r="F60" s="2">
        <v>11.94</v>
      </c>
      <c r="G60" s="2">
        <v>48</v>
      </c>
      <c r="H60" s="2">
        <v>26</v>
      </c>
      <c r="I60" s="2">
        <v>650</v>
      </c>
      <c r="J60" s="2">
        <v>650</v>
      </c>
      <c r="K60" s="2">
        <v>650</v>
      </c>
    </row>
    <row r="61" spans="1:11">
      <c r="A61" s="44"/>
      <c r="B61" s="17">
        <v>46171</v>
      </c>
      <c r="C61" s="2">
        <v>6.8</v>
      </c>
      <c r="D61" s="2">
        <v>10</v>
      </c>
      <c r="E61" s="2">
        <v>35</v>
      </c>
      <c r="F61" s="2">
        <v>11.94</v>
      </c>
      <c r="G61" s="2">
        <v>48</v>
      </c>
      <c r="H61" s="2">
        <v>26</v>
      </c>
      <c r="I61" s="2">
        <v>650</v>
      </c>
      <c r="J61" s="2">
        <v>650</v>
      </c>
      <c r="K61" s="2">
        <v>650</v>
      </c>
    </row>
    <row r="62" spans="1:11">
      <c r="A62" s="44"/>
      <c r="B62" s="17">
        <v>46172</v>
      </c>
      <c r="C62" s="2">
        <v>6.8</v>
      </c>
      <c r="D62" s="2">
        <v>10</v>
      </c>
      <c r="E62" s="2">
        <v>35</v>
      </c>
      <c r="F62" s="2">
        <v>11.94</v>
      </c>
      <c r="G62" s="2">
        <v>48</v>
      </c>
      <c r="H62" s="2">
        <v>26</v>
      </c>
      <c r="I62" s="2">
        <v>676</v>
      </c>
      <c r="J62" s="2">
        <v>650</v>
      </c>
      <c r="K62" s="2">
        <v>650</v>
      </c>
    </row>
    <row r="63" spans="1:11">
      <c r="A63" s="47"/>
      <c r="B63" s="17">
        <v>46173</v>
      </c>
      <c r="C63" s="2">
        <v>6.8</v>
      </c>
      <c r="D63" s="2">
        <v>10</v>
      </c>
      <c r="E63" s="2">
        <v>35</v>
      </c>
      <c r="F63" s="2">
        <v>11.94</v>
      </c>
      <c r="G63" s="2">
        <v>48</v>
      </c>
      <c r="H63" s="2">
        <v>26</v>
      </c>
      <c r="I63" s="2">
        <v>650</v>
      </c>
      <c r="J63" s="2">
        <v>650</v>
      </c>
      <c r="K63" s="2">
        <v>650</v>
      </c>
    </row>
    <row r="64" spans="1:11">
      <c r="A64" s="40" t="s">
        <v>10</v>
      </c>
      <c r="B64" s="17">
        <v>46174</v>
      </c>
      <c r="C64" s="2">
        <v>6.8</v>
      </c>
      <c r="D64" s="2">
        <v>10</v>
      </c>
      <c r="E64" s="2">
        <v>35</v>
      </c>
      <c r="F64" s="2">
        <v>11.94</v>
      </c>
      <c r="G64" s="2">
        <v>48</v>
      </c>
      <c r="H64" s="2">
        <v>26</v>
      </c>
      <c r="I64" s="2">
        <v>650</v>
      </c>
      <c r="J64" s="2">
        <v>650</v>
      </c>
      <c r="K64" s="2">
        <v>650</v>
      </c>
    </row>
    <row r="65" spans="1:11">
      <c r="A65" s="41"/>
      <c r="B65" s="17">
        <v>46175</v>
      </c>
      <c r="C65" s="2">
        <v>6.8</v>
      </c>
      <c r="D65" s="2">
        <v>10</v>
      </c>
      <c r="E65" s="2">
        <v>35</v>
      </c>
      <c r="F65" s="2">
        <v>11.94</v>
      </c>
      <c r="G65" s="2">
        <v>48</v>
      </c>
      <c r="H65" s="2">
        <v>26</v>
      </c>
      <c r="I65" s="2">
        <v>650</v>
      </c>
      <c r="J65" s="2">
        <v>650</v>
      </c>
      <c r="K65" s="2">
        <v>650</v>
      </c>
    </row>
    <row r="66" spans="1:11">
      <c r="A66" s="41"/>
      <c r="B66" s="17">
        <v>46176</v>
      </c>
      <c r="C66" s="2">
        <v>6.8</v>
      </c>
      <c r="D66" s="2">
        <v>10</v>
      </c>
      <c r="E66" s="2">
        <v>35</v>
      </c>
      <c r="F66" s="2">
        <v>11.94</v>
      </c>
      <c r="G66" s="2">
        <v>48</v>
      </c>
      <c r="H66" s="2">
        <v>26</v>
      </c>
      <c r="I66" s="2">
        <v>650</v>
      </c>
      <c r="J66" s="2">
        <v>650</v>
      </c>
      <c r="K66" s="2">
        <v>650</v>
      </c>
    </row>
    <row r="67" spans="1:11">
      <c r="A67" s="41"/>
      <c r="B67" s="17">
        <v>46177</v>
      </c>
      <c r="C67" s="2">
        <v>6.8</v>
      </c>
      <c r="D67" s="2">
        <v>10</v>
      </c>
      <c r="E67" s="2">
        <v>35</v>
      </c>
      <c r="F67" s="2">
        <v>11.94</v>
      </c>
      <c r="G67" s="2">
        <v>48</v>
      </c>
      <c r="H67" s="2">
        <v>26</v>
      </c>
      <c r="I67" s="2">
        <v>650</v>
      </c>
      <c r="J67" s="2">
        <v>650</v>
      </c>
      <c r="K67" s="2">
        <v>650</v>
      </c>
    </row>
    <row r="68" spans="1:11">
      <c r="A68" s="41"/>
      <c r="B68" s="17">
        <v>46178</v>
      </c>
      <c r="C68" s="2">
        <v>6.8</v>
      </c>
      <c r="D68" s="2">
        <v>10</v>
      </c>
      <c r="E68" s="2">
        <v>35</v>
      </c>
      <c r="F68" s="2">
        <v>11.94</v>
      </c>
      <c r="G68" s="2">
        <v>48</v>
      </c>
      <c r="H68" s="2">
        <v>26</v>
      </c>
      <c r="I68" s="2">
        <v>650</v>
      </c>
      <c r="J68" s="2">
        <v>650</v>
      </c>
      <c r="K68" s="2">
        <v>650</v>
      </c>
    </row>
    <row r="69" spans="1:11">
      <c r="A69" s="41"/>
      <c r="B69" s="17">
        <v>46179</v>
      </c>
      <c r="C69" s="2">
        <v>6.8</v>
      </c>
      <c r="D69" s="2">
        <v>10</v>
      </c>
      <c r="E69" s="2">
        <v>35</v>
      </c>
      <c r="F69" s="2">
        <v>11.94</v>
      </c>
      <c r="G69" s="2">
        <v>48</v>
      </c>
      <c r="H69" s="2">
        <v>26</v>
      </c>
      <c r="I69" s="2">
        <v>650</v>
      </c>
      <c r="J69" s="2">
        <v>650</v>
      </c>
      <c r="K69" s="2">
        <v>650</v>
      </c>
    </row>
    <row r="70" spans="1:11">
      <c r="A70" s="41"/>
      <c r="B70" s="17">
        <v>46180</v>
      </c>
      <c r="C70" s="2">
        <v>6.8</v>
      </c>
      <c r="D70" s="2">
        <v>10</v>
      </c>
      <c r="E70" s="2">
        <v>35</v>
      </c>
      <c r="F70" s="2">
        <v>11.94</v>
      </c>
      <c r="G70" s="2">
        <v>48</v>
      </c>
      <c r="H70" s="2">
        <v>26</v>
      </c>
      <c r="I70" s="2">
        <v>650</v>
      </c>
      <c r="J70" s="2">
        <v>650</v>
      </c>
      <c r="K70" s="2">
        <v>650</v>
      </c>
    </row>
    <row r="71" spans="1:11">
      <c r="A71" s="41"/>
      <c r="B71" s="17">
        <v>46181</v>
      </c>
      <c r="C71" s="2">
        <v>6.8</v>
      </c>
      <c r="D71" s="2">
        <v>10</v>
      </c>
      <c r="E71" s="2">
        <v>35</v>
      </c>
      <c r="F71" s="2">
        <v>11.94</v>
      </c>
      <c r="G71" s="2">
        <v>48</v>
      </c>
      <c r="H71" s="2">
        <v>26</v>
      </c>
      <c r="I71" s="2">
        <v>650</v>
      </c>
      <c r="J71" s="2">
        <v>650</v>
      </c>
      <c r="K71" s="2">
        <v>650</v>
      </c>
    </row>
    <row r="72" spans="1:11">
      <c r="A72" s="41"/>
      <c r="B72" s="17">
        <v>46182</v>
      </c>
      <c r="C72" s="2">
        <v>6.8</v>
      </c>
      <c r="D72" s="2">
        <v>10</v>
      </c>
      <c r="E72" s="2">
        <v>35</v>
      </c>
      <c r="F72" s="2">
        <v>11.94</v>
      </c>
      <c r="G72" s="2">
        <v>48</v>
      </c>
      <c r="H72" s="2">
        <v>26</v>
      </c>
      <c r="I72" s="2">
        <v>650</v>
      </c>
      <c r="J72" s="2">
        <v>650</v>
      </c>
      <c r="K72" s="2">
        <v>650</v>
      </c>
    </row>
    <row r="73" spans="1:11">
      <c r="A73" s="41"/>
      <c r="B73" s="17">
        <v>46183</v>
      </c>
      <c r="C73" s="2">
        <v>6.8</v>
      </c>
      <c r="D73" s="2">
        <v>10</v>
      </c>
      <c r="E73" s="2">
        <v>35</v>
      </c>
      <c r="F73" s="2">
        <v>11.94</v>
      </c>
      <c r="G73" s="2">
        <v>48</v>
      </c>
      <c r="H73" s="2">
        <v>26</v>
      </c>
      <c r="I73" s="2">
        <v>650</v>
      </c>
      <c r="J73" s="2">
        <v>650</v>
      </c>
      <c r="K73" s="2">
        <v>650</v>
      </c>
    </row>
    <row r="74" spans="1:11">
      <c r="A74" s="41"/>
      <c r="B74" s="17">
        <v>46184</v>
      </c>
      <c r="C74" s="2">
        <v>6.8</v>
      </c>
      <c r="D74" s="2">
        <v>10</v>
      </c>
      <c r="E74" s="2">
        <v>35</v>
      </c>
      <c r="F74" s="2">
        <v>11.94</v>
      </c>
      <c r="G74" s="2">
        <v>48</v>
      </c>
      <c r="H74" s="2">
        <v>26</v>
      </c>
      <c r="I74" s="2">
        <v>650</v>
      </c>
      <c r="J74" s="2">
        <v>650</v>
      </c>
      <c r="K74" s="2">
        <v>650</v>
      </c>
    </row>
    <row r="75" spans="1:11">
      <c r="A75" s="41"/>
      <c r="B75" s="17">
        <v>46185</v>
      </c>
      <c r="C75" s="2">
        <v>6.8</v>
      </c>
      <c r="D75" s="2">
        <v>10</v>
      </c>
      <c r="E75" s="2">
        <v>35</v>
      </c>
      <c r="F75" s="2">
        <v>11.94</v>
      </c>
      <c r="G75" s="2">
        <v>48</v>
      </c>
      <c r="H75" s="2">
        <v>26</v>
      </c>
      <c r="I75" s="2">
        <v>650</v>
      </c>
      <c r="J75" s="2">
        <v>650</v>
      </c>
      <c r="K75" s="2">
        <v>650</v>
      </c>
    </row>
    <row r="76" spans="1:11">
      <c r="A76" s="41"/>
      <c r="B76" s="17">
        <v>46186</v>
      </c>
      <c r="C76" s="2">
        <v>6.8</v>
      </c>
      <c r="D76" s="2">
        <v>10</v>
      </c>
      <c r="E76" s="2">
        <v>35</v>
      </c>
      <c r="F76" s="2">
        <v>11.94</v>
      </c>
      <c r="G76" s="2">
        <v>48</v>
      </c>
      <c r="H76" s="2">
        <v>26</v>
      </c>
      <c r="I76" s="2">
        <v>650</v>
      </c>
      <c r="J76" s="2">
        <v>650</v>
      </c>
      <c r="K76" s="2">
        <v>650</v>
      </c>
    </row>
    <row r="77" spans="1:11">
      <c r="A77" s="41"/>
      <c r="B77" s="17">
        <v>46187</v>
      </c>
      <c r="C77" s="2">
        <v>6.8</v>
      </c>
      <c r="D77" s="2">
        <v>10</v>
      </c>
      <c r="E77" s="2">
        <v>35</v>
      </c>
      <c r="F77" s="2">
        <v>11.94</v>
      </c>
      <c r="G77" s="2">
        <v>48</v>
      </c>
      <c r="H77" s="2">
        <v>26</v>
      </c>
      <c r="I77" s="2">
        <v>650</v>
      </c>
      <c r="J77" s="2">
        <v>650</v>
      </c>
      <c r="K77" s="2">
        <v>650</v>
      </c>
    </row>
    <row r="78" spans="1:11">
      <c r="A78" s="41"/>
      <c r="B78" s="17">
        <v>46188</v>
      </c>
      <c r="C78" s="2">
        <v>6.8</v>
      </c>
      <c r="D78" s="2">
        <v>10</v>
      </c>
      <c r="E78" s="2">
        <v>35</v>
      </c>
      <c r="F78" s="2">
        <v>11.94</v>
      </c>
      <c r="G78" s="2">
        <v>48</v>
      </c>
      <c r="H78" s="2">
        <v>26</v>
      </c>
      <c r="I78" s="2">
        <v>650</v>
      </c>
      <c r="J78" s="2">
        <v>650</v>
      </c>
      <c r="K78" s="2">
        <v>650</v>
      </c>
    </row>
    <row r="79" spans="1:11">
      <c r="A79" s="41"/>
      <c r="B79" s="17">
        <v>46189</v>
      </c>
      <c r="C79" s="2">
        <v>6.8</v>
      </c>
      <c r="D79" s="2">
        <v>10</v>
      </c>
      <c r="E79" s="2">
        <v>35</v>
      </c>
      <c r="F79" s="2">
        <v>11.94</v>
      </c>
      <c r="G79" s="2">
        <v>48</v>
      </c>
      <c r="H79" s="2">
        <v>26</v>
      </c>
      <c r="I79" s="2">
        <v>650</v>
      </c>
      <c r="J79" s="2">
        <v>650</v>
      </c>
      <c r="K79" s="2">
        <v>650</v>
      </c>
    </row>
    <row r="80" spans="1:11">
      <c r="A80" s="41"/>
      <c r="B80" s="17">
        <v>46190</v>
      </c>
      <c r="C80" s="2">
        <v>6.8</v>
      </c>
      <c r="D80" s="2">
        <v>10</v>
      </c>
      <c r="E80" s="2">
        <v>35</v>
      </c>
      <c r="F80" s="2">
        <v>11.94</v>
      </c>
      <c r="G80" s="2">
        <v>48</v>
      </c>
      <c r="H80" s="2">
        <v>26</v>
      </c>
      <c r="I80" s="2">
        <v>650</v>
      </c>
      <c r="J80" s="2">
        <v>650</v>
      </c>
      <c r="K80" s="2">
        <v>650</v>
      </c>
    </row>
    <row r="81" spans="1:11">
      <c r="A81" s="41"/>
      <c r="B81" s="17">
        <v>46191</v>
      </c>
      <c r="C81" s="2">
        <v>6.8</v>
      </c>
      <c r="D81" s="2">
        <v>10</v>
      </c>
      <c r="E81" s="2">
        <v>35</v>
      </c>
      <c r="F81" s="2">
        <v>11.94</v>
      </c>
      <c r="G81" s="2">
        <v>48</v>
      </c>
      <c r="H81" s="2">
        <v>26</v>
      </c>
      <c r="I81" s="2">
        <v>650</v>
      </c>
      <c r="J81" s="2">
        <v>650</v>
      </c>
      <c r="K81" s="2">
        <v>650</v>
      </c>
    </row>
    <row r="82" spans="1:11">
      <c r="A82" s="41"/>
      <c r="B82" s="17">
        <v>46192</v>
      </c>
      <c r="C82" s="2">
        <v>6.8</v>
      </c>
      <c r="D82" s="2">
        <v>10</v>
      </c>
      <c r="E82" s="2">
        <v>35</v>
      </c>
      <c r="F82" s="2">
        <v>11.94</v>
      </c>
      <c r="G82" s="2">
        <v>48</v>
      </c>
      <c r="H82" s="2">
        <v>26</v>
      </c>
      <c r="I82" s="2">
        <v>650</v>
      </c>
      <c r="J82" s="2">
        <v>650</v>
      </c>
      <c r="K82" s="2">
        <v>650</v>
      </c>
    </row>
    <row r="83" spans="1:11">
      <c r="A83" s="41"/>
      <c r="B83" s="17">
        <v>46193</v>
      </c>
      <c r="C83" s="2">
        <v>6.8</v>
      </c>
      <c r="D83" s="2">
        <v>10</v>
      </c>
      <c r="E83" s="2">
        <v>35</v>
      </c>
      <c r="F83" s="2">
        <v>11.94</v>
      </c>
      <c r="G83" s="2">
        <v>48</v>
      </c>
      <c r="H83" s="2">
        <v>26</v>
      </c>
      <c r="I83" s="2">
        <v>650</v>
      </c>
      <c r="J83" s="2">
        <v>650</v>
      </c>
      <c r="K83" s="2">
        <v>650</v>
      </c>
    </row>
    <row r="84" spans="1:11">
      <c r="A84" s="41"/>
      <c r="B84" s="17">
        <v>46194</v>
      </c>
      <c r="C84" s="2">
        <v>6.8</v>
      </c>
      <c r="D84" s="2">
        <v>10</v>
      </c>
      <c r="E84" s="2">
        <v>35</v>
      </c>
      <c r="F84" s="2">
        <v>11.94</v>
      </c>
      <c r="G84" s="2">
        <v>48</v>
      </c>
      <c r="H84" s="2">
        <v>26</v>
      </c>
      <c r="I84" s="2">
        <v>650</v>
      </c>
      <c r="J84" s="2">
        <v>650</v>
      </c>
      <c r="K84" s="2">
        <v>650</v>
      </c>
    </row>
    <row r="85" spans="1:11">
      <c r="A85" s="41"/>
      <c r="B85" s="17">
        <v>46195</v>
      </c>
      <c r="C85" s="2">
        <v>6.8</v>
      </c>
      <c r="D85" s="2">
        <v>10</v>
      </c>
      <c r="E85" s="2">
        <v>35</v>
      </c>
      <c r="F85" s="2">
        <v>11.94</v>
      </c>
      <c r="G85" s="2">
        <v>48</v>
      </c>
      <c r="H85" s="2">
        <v>26</v>
      </c>
      <c r="I85" s="2">
        <v>650</v>
      </c>
      <c r="J85" s="2">
        <v>650</v>
      </c>
      <c r="K85" s="2">
        <v>650</v>
      </c>
    </row>
    <row r="86" spans="1:11">
      <c r="A86" s="41"/>
      <c r="B86" s="17">
        <v>46196</v>
      </c>
      <c r="C86" s="2">
        <v>6.8</v>
      </c>
      <c r="D86" s="2">
        <v>10</v>
      </c>
      <c r="E86" s="2">
        <v>35</v>
      </c>
      <c r="F86" s="2">
        <v>11.94</v>
      </c>
      <c r="G86" s="2">
        <v>48</v>
      </c>
      <c r="H86" s="2">
        <v>26</v>
      </c>
      <c r="I86" s="2">
        <v>650</v>
      </c>
      <c r="J86" s="2">
        <v>650</v>
      </c>
      <c r="K86" s="2">
        <v>650</v>
      </c>
    </row>
    <row r="87" spans="1:11">
      <c r="A87" s="41"/>
      <c r="B87" s="17">
        <v>46197</v>
      </c>
      <c r="C87" s="2">
        <v>6.8</v>
      </c>
      <c r="D87" s="2">
        <v>10</v>
      </c>
      <c r="E87" s="2">
        <v>35</v>
      </c>
      <c r="F87" s="2">
        <v>11.94</v>
      </c>
      <c r="G87" s="2">
        <v>48</v>
      </c>
      <c r="H87" s="2">
        <v>26</v>
      </c>
      <c r="I87" s="2">
        <v>650</v>
      </c>
      <c r="J87" s="2">
        <v>650</v>
      </c>
      <c r="K87" s="2">
        <v>650</v>
      </c>
    </row>
    <row r="88" spans="1:11">
      <c r="A88" s="41"/>
      <c r="B88" s="17">
        <v>46198</v>
      </c>
      <c r="C88" s="2">
        <v>6.8</v>
      </c>
      <c r="D88" s="2">
        <v>10</v>
      </c>
      <c r="E88" s="2">
        <v>35</v>
      </c>
      <c r="F88" s="2">
        <v>11.94</v>
      </c>
      <c r="G88" s="2">
        <v>48</v>
      </c>
      <c r="H88" s="2">
        <v>26</v>
      </c>
      <c r="I88" s="2">
        <v>650</v>
      </c>
      <c r="J88" s="2">
        <v>650</v>
      </c>
      <c r="K88" s="2">
        <v>650</v>
      </c>
    </row>
    <row r="89" spans="1:11">
      <c r="A89" s="41"/>
      <c r="B89" s="17">
        <v>46199</v>
      </c>
      <c r="C89" s="2">
        <v>6.8</v>
      </c>
      <c r="D89" s="2">
        <v>10</v>
      </c>
      <c r="E89" s="2">
        <v>35</v>
      </c>
      <c r="F89" s="2">
        <v>11.94</v>
      </c>
      <c r="G89" s="2">
        <v>48</v>
      </c>
      <c r="H89" s="2">
        <v>26</v>
      </c>
      <c r="I89" s="2">
        <v>650</v>
      </c>
      <c r="J89" s="2">
        <v>650</v>
      </c>
      <c r="K89" s="2">
        <v>650</v>
      </c>
    </row>
    <row r="90" spans="1:11">
      <c r="A90" s="41"/>
      <c r="B90" s="17">
        <v>46200</v>
      </c>
      <c r="C90" s="2">
        <v>6.8</v>
      </c>
      <c r="D90" s="2">
        <v>10</v>
      </c>
      <c r="E90" s="2">
        <v>35</v>
      </c>
      <c r="F90" s="2">
        <v>11.94</v>
      </c>
      <c r="G90" s="2">
        <v>48</v>
      </c>
      <c r="H90" s="2">
        <v>26</v>
      </c>
      <c r="I90" s="2">
        <v>650</v>
      </c>
      <c r="J90" s="2">
        <v>650</v>
      </c>
      <c r="K90" s="2">
        <v>650</v>
      </c>
    </row>
    <row r="91" spans="1:11">
      <c r="A91" s="41"/>
      <c r="B91" s="17">
        <v>46201</v>
      </c>
      <c r="C91" s="2">
        <v>6.8</v>
      </c>
      <c r="D91" s="2">
        <v>10</v>
      </c>
      <c r="E91" s="2">
        <v>35</v>
      </c>
      <c r="F91" s="2">
        <v>11.94</v>
      </c>
      <c r="G91" s="2">
        <v>48</v>
      </c>
      <c r="H91" s="2">
        <v>26</v>
      </c>
      <c r="I91" s="2">
        <v>650</v>
      </c>
      <c r="J91" s="2">
        <v>650</v>
      </c>
      <c r="K91" s="2">
        <v>650</v>
      </c>
    </row>
    <row r="92" spans="1:11">
      <c r="A92" s="41"/>
      <c r="B92" s="17">
        <v>46202</v>
      </c>
      <c r="C92" s="2">
        <v>6.8</v>
      </c>
      <c r="D92" s="2">
        <v>10</v>
      </c>
      <c r="E92" s="2">
        <v>35</v>
      </c>
      <c r="F92" s="2">
        <v>11.94</v>
      </c>
      <c r="G92" s="2">
        <v>48</v>
      </c>
      <c r="H92" s="2">
        <v>26</v>
      </c>
      <c r="I92" s="2">
        <v>650</v>
      </c>
      <c r="J92" s="2">
        <v>650</v>
      </c>
      <c r="K92" s="2">
        <v>650</v>
      </c>
    </row>
    <row r="93" spans="1:11">
      <c r="A93" s="42"/>
      <c r="B93" s="17">
        <v>46203</v>
      </c>
      <c r="C93" s="2">
        <v>6.8</v>
      </c>
      <c r="D93" s="2">
        <v>10</v>
      </c>
      <c r="E93" s="2">
        <v>35</v>
      </c>
      <c r="F93" s="2">
        <v>11.94</v>
      </c>
      <c r="G93" s="2">
        <v>48</v>
      </c>
      <c r="H93" s="2">
        <v>26</v>
      </c>
      <c r="I93" s="2">
        <v>650</v>
      </c>
      <c r="J93" s="2">
        <v>650</v>
      </c>
      <c r="K93" s="2">
        <v>650</v>
      </c>
    </row>
    <row r="94" spans="1:11">
      <c r="A94" s="40" t="s">
        <v>11</v>
      </c>
      <c r="B94" s="17">
        <v>46204</v>
      </c>
      <c r="C94" s="2">
        <v>6.8</v>
      </c>
      <c r="D94" s="2">
        <v>10</v>
      </c>
      <c r="E94" s="2">
        <v>35</v>
      </c>
      <c r="F94" s="2">
        <v>11.94</v>
      </c>
      <c r="G94" s="2">
        <v>48</v>
      </c>
      <c r="H94" s="2">
        <v>26</v>
      </c>
      <c r="I94" s="2">
        <v>650</v>
      </c>
      <c r="J94" s="2">
        <v>650</v>
      </c>
      <c r="K94" s="2">
        <v>650</v>
      </c>
    </row>
    <row r="95" spans="1:11">
      <c r="A95" s="41"/>
      <c r="B95" s="17">
        <v>46205</v>
      </c>
      <c r="C95" s="2">
        <v>6.8</v>
      </c>
      <c r="D95" s="2">
        <v>10</v>
      </c>
      <c r="E95" s="2">
        <v>35</v>
      </c>
      <c r="F95" s="2">
        <v>11.94</v>
      </c>
      <c r="G95" s="2">
        <v>48</v>
      </c>
      <c r="H95" s="2">
        <v>26</v>
      </c>
      <c r="I95" s="2">
        <v>650</v>
      </c>
      <c r="J95" s="2">
        <v>650</v>
      </c>
      <c r="K95" s="2">
        <v>650</v>
      </c>
    </row>
    <row r="96" spans="1:11">
      <c r="A96" s="41"/>
      <c r="B96" s="17">
        <v>46206</v>
      </c>
      <c r="C96" s="2">
        <v>6.8</v>
      </c>
      <c r="D96" s="2">
        <v>10</v>
      </c>
      <c r="E96" s="2">
        <v>35</v>
      </c>
      <c r="F96" s="2">
        <v>11.94</v>
      </c>
      <c r="G96" s="2">
        <v>48</v>
      </c>
      <c r="H96" s="2">
        <v>26</v>
      </c>
      <c r="I96" s="2">
        <v>650</v>
      </c>
      <c r="J96" s="2">
        <v>650</v>
      </c>
      <c r="K96" s="2">
        <v>650</v>
      </c>
    </row>
    <row r="97" spans="1:11">
      <c r="A97" s="41"/>
      <c r="B97" s="17">
        <v>46207</v>
      </c>
      <c r="C97" s="2">
        <v>6.8</v>
      </c>
      <c r="D97" s="2">
        <v>10</v>
      </c>
      <c r="E97" s="2">
        <v>35</v>
      </c>
      <c r="F97" s="2">
        <v>11.94</v>
      </c>
      <c r="G97" s="2">
        <v>48</v>
      </c>
      <c r="H97" s="2">
        <v>26</v>
      </c>
      <c r="I97" s="2">
        <v>650</v>
      </c>
      <c r="J97" s="2">
        <v>650</v>
      </c>
      <c r="K97" s="2">
        <v>650</v>
      </c>
    </row>
    <row r="98" spans="1:11">
      <c r="A98" s="41"/>
      <c r="B98" s="17">
        <v>46208</v>
      </c>
      <c r="C98" s="2">
        <v>6.8</v>
      </c>
      <c r="D98" s="2">
        <v>10</v>
      </c>
      <c r="E98" s="2">
        <v>35</v>
      </c>
      <c r="F98" s="2">
        <v>11.94</v>
      </c>
      <c r="G98" s="2">
        <v>48</v>
      </c>
      <c r="H98" s="2">
        <v>26</v>
      </c>
      <c r="I98" s="2">
        <v>650</v>
      </c>
      <c r="J98" s="2">
        <v>650</v>
      </c>
      <c r="K98" s="2">
        <v>650</v>
      </c>
    </row>
    <row r="99" spans="1:11">
      <c r="A99" s="41"/>
      <c r="B99" s="17">
        <v>46209</v>
      </c>
      <c r="C99" s="2">
        <v>6.8</v>
      </c>
      <c r="D99" s="2">
        <v>10</v>
      </c>
      <c r="E99" s="2">
        <v>35</v>
      </c>
      <c r="F99" s="2">
        <v>11.94</v>
      </c>
      <c r="G99" s="2">
        <v>48</v>
      </c>
      <c r="H99" s="2">
        <v>26</v>
      </c>
      <c r="I99" s="2">
        <v>650</v>
      </c>
      <c r="J99" s="2">
        <v>650</v>
      </c>
      <c r="K99" s="2">
        <v>650</v>
      </c>
    </row>
    <row r="100" spans="1:11">
      <c r="A100" s="41"/>
      <c r="B100" s="17">
        <v>46210</v>
      </c>
      <c r="C100" s="2">
        <v>6.8</v>
      </c>
      <c r="D100" s="2">
        <v>10</v>
      </c>
      <c r="E100" s="2">
        <v>35</v>
      </c>
      <c r="F100" s="2">
        <v>11.94</v>
      </c>
      <c r="G100" s="2">
        <v>48</v>
      </c>
      <c r="H100" s="2">
        <v>26</v>
      </c>
      <c r="I100" s="2">
        <v>650</v>
      </c>
      <c r="J100" s="2">
        <v>650</v>
      </c>
      <c r="K100" s="2">
        <v>650</v>
      </c>
    </row>
    <row r="101" spans="1:11">
      <c r="A101" s="41"/>
      <c r="B101" s="17">
        <v>46211</v>
      </c>
      <c r="C101" s="2">
        <v>6.8</v>
      </c>
      <c r="D101" s="2">
        <v>10</v>
      </c>
      <c r="E101" s="2">
        <v>35</v>
      </c>
      <c r="F101" s="2">
        <v>11.94</v>
      </c>
      <c r="G101" s="2">
        <v>48</v>
      </c>
      <c r="H101" s="2">
        <v>26</v>
      </c>
      <c r="I101" s="2">
        <v>650</v>
      </c>
      <c r="J101" s="2">
        <v>650</v>
      </c>
      <c r="K101" s="2">
        <v>650</v>
      </c>
    </row>
    <row r="102" spans="1:11">
      <c r="A102" s="41"/>
      <c r="B102" s="17">
        <v>46212</v>
      </c>
      <c r="C102" s="2">
        <v>6.8</v>
      </c>
      <c r="D102" s="2">
        <v>10</v>
      </c>
      <c r="E102" s="2">
        <v>35</v>
      </c>
      <c r="F102" s="2">
        <v>11.94</v>
      </c>
      <c r="G102" s="2">
        <v>48</v>
      </c>
      <c r="H102" s="2">
        <v>26</v>
      </c>
      <c r="I102" s="2">
        <v>650</v>
      </c>
      <c r="J102" s="2">
        <v>650</v>
      </c>
      <c r="K102" s="2">
        <v>650</v>
      </c>
    </row>
    <row r="103" spans="1:11">
      <c r="A103" s="41"/>
      <c r="B103" s="17">
        <v>46213</v>
      </c>
      <c r="C103" s="2">
        <v>6.8</v>
      </c>
      <c r="D103" s="2">
        <v>10</v>
      </c>
      <c r="E103" s="2">
        <v>35</v>
      </c>
      <c r="F103" s="2">
        <v>11.94</v>
      </c>
      <c r="G103" s="2">
        <v>48</v>
      </c>
      <c r="H103" s="2">
        <v>26</v>
      </c>
      <c r="I103" s="2">
        <v>650</v>
      </c>
      <c r="J103" s="2">
        <v>650</v>
      </c>
      <c r="K103" s="2">
        <v>650</v>
      </c>
    </row>
    <row r="104" spans="1:11">
      <c r="A104" s="41"/>
      <c r="B104" s="17">
        <v>46214</v>
      </c>
      <c r="C104" s="2">
        <v>6.8</v>
      </c>
      <c r="D104" s="2">
        <v>10</v>
      </c>
      <c r="E104" s="2">
        <v>35</v>
      </c>
      <c r="F104" s="2">
        <v>11.94</v>
      </c>
      <c r="G104" s="2">
        <v>48</v>
      </c>
      <c r="H104" s="2">
        <v>26</v>
      </c>
      <c r="I104" s="2">
        <v>650</v>
      </c>
      <c r="J104" s="2">
        <v>650</v>
      </c>
      <c r="K104" s="2">
        <v>650</v>
      </c>
    </row>
    <row r="105" spans="1:11">
      <c r="A105" s="41"/>
      <c r="B105" s="17">
        <v>46215</v>
      </c>
      <c r="C105" s="2">
        <v>6.8</v>
      </c>
      <c r="D105" s="2">
        <v>10</v>
      </c>
      <c r="E105" s="2">
        <v>35</v>
      </c>
      <c r="F105" s="2">
        <v>11.94</v>
      </c>
      <c r="G105" s="2">
        <v>48</v>
      </c>
      <c r="H105" s="2">
        <v>26</v>
      </c>
      <c r="I105" s="2">
        <v>650</v>
      </c>
      <c r="J105" s="2">
        <v>650</v>
      </c>
      <c r="K105" s="2">
        <v>650</v>
      </c>
    </row>
    <row r="106" spans="1:11">
      <c r="A106" s="41"/>
      <c r="B106" s="17">
        <v>46216</v>
      </c>
      <c r="C106" s="2">
        <v>6.8</v>
      </c>
      <c r="D106" s="2">
        <v>10</v>
      </c>
      <c r="E106" s="2">
        <v>35</v>
      </c>
      <c r="F106" s="2">
        <v>11.94</v>
      </c>
      <c r="G106" s="2">
        <v>48</v>
      </c>
      <c r="H106" s="2">
        <v>26</v>
      </c>
      <c r="I106" s="2">
        <v>650</v>
      </c>
      <c r="J106" s="2">
        <v>650</v>
      </c>
      <c r="K106" s="2">
        <v>650</v>
      </c>
    </row>
    <row r="107" spans="1:11">
      <c r="A107" s="41"/>
      <c r="B107" s="17">
        <v>46217</v>
      </c>
      <c r="C107" s="2">
        <v>6.8</v>
      </c>
      <c r="D107" s="2">
        <v>10</v>
      </c>
      <c r="E107" s="2">
        <v>35</v>
      </c>
      <c r="F107" s="2">
        <v>11.94</v>
      </c>
      <c r="G107" s="2">
        <v>48</v>
      </c>
      <c r="H107" s="2">
        <v>26</v>
      </c>
      <c r="I107" s="2">
        <v>650</v>
      </c>
      <c r="J107" s="2">
        <v>650</v>
      </c>
      <c r="K107" s="2">
        <v>650</v>
      </c>
    </row>
    <row r="108" spans="1:11">
      <c r="A108" s="41"/>
      <c r="B108" s="17">
        <v>46218</v>
      </c>
      <c r="C108" s="2">
        <v>6.8</v>
      </c>
      <c r="D108" s="2">
        <v>10</v>
      </c>
      <c r="E108" s="2">
        <v>35</v>
      </c>
      <c r="F108" s="2">
        <v>11.94</v>
      </c>
      <c r="G108" s="2">
        <v>48</v>
      </c>
      <c r="H108" s="2">
        <v>26</v>
      </c>
      <c r="I108" s="2">
        <v>650</v>
      </c>
      <c r="J108" s="2">
        <v>650</v>
      </c>
      <c r="K108" s="2">
        <v>650</v>
      </c>
    </row>
    <row r="109" spans="1:11">
      <c r="A109" s="41"/>
      <c r="B109" s="17">
        <v>46219</v>
      </c>
      <c r="C109" s="2">
        <v>6.8</v>
      </c>
      <c r="D109" s="2">
        <v>10</v>
      </c>
      <c r="E109" s="2">
        <v>35</v>
      </c>
      <c r="F109" s="2">
        <v>11.94</v>
      </c>
      <c r="G109" s="2">
        <v>48</v>
      </c>
      <c r="H109" s="2">
        <v>26</v>
      </c>
      <c r="I109" s="2">
        <v>650</v>
      </c>
      <c r="J109" s="2">
        <v>650</v>
      </c>
      <c r="K109" s="2">
        <v>650</v>
      </c>
    </row>
    <row r="110" spans="1:11">
      <c r="A110" s="41"/>
      <c r="B110" s="17">
        <v>46220</v>
      </c>
      <c r="C110" s="2">
        <v>6.8</v>
      </c>
      <c r="D110" s="2">
        <v>10</v>
      </c>
      <c r="E110" s="2">
        <v>35</v>
      </c>
      <c r="F110" s="2">
        <v>11.94</v>
      </c>
      <c r="G110" s="2">
        <v>48</v>
      </c>
      <c r="H110" s="2">
        <v>26</v>
      </c>
      <c r="I110" s="2">
        <v>650</v>
      </c>
      <c r="J110" s="2">
        <v>650</v>
      </c>
      <c r="K110" s="2">
        <v>650</v>
      </c>
    </row>
    <row r="111" spans="1:11">
      <c r="A111" s="41"/>
      <c r="B111" s="17">
        <v>46221</v>
      </c>
      <c r="C111" s="2">
        <v>6.8</v>
      </c>
      <c r="D111" s="2">
        <v>10</v>
      </c>
      <c r="E111" s="2">
        <v>35</v>
      </c>
      <c r="F111" s="2">
        <v>11.94</v>
      </c>
      <c r="G111" s="2">
        <v>48</v>
      </c>
      <c r="H111" s="2">
        <v>26</v>
      </c>
      <c r="I111" s="2">
        <v>650</v>
      </c>
      <c r="J111" s="2">
        <v>650</v>
      </c>
      <c r="K111" s="2">
        <v>650</v>
      </c>
    </row>
    <row r="112" spans="1:11">
      <c r="A112" s="41"/>
      <c r="B112" s="17">
        <v>46222</v>
      </c>
      <c r="C112" s="2">
        <v>6.8</v>
      </c>
      <c r="D112" s="2">
        <v>10</v>
      </c>
      <c r="E112" s="2">
        <v>35</v>
      </c>
      <c r="F112" s="2">
        <v>11.94</v>
      </c>
      <c r="G112" s="2">
        <v>48</v>
      </c>
      <c r="H112" s="2">
        <v>26</v>
      </c>
      <c r="I112" s="2">
        <v>650</v>
      </c>
      <c r="J112" s="2">
        <v>650</v>
      </c>
      <c r="K112" s="2">
        <v>650</v>
      </c>
    </row>
    <row r="113" spans="1:11">
      <c r="A113" s="41"/>
      <c r="B113" s="17">
        <v>46223</v>
      </c>
      <c r="C113" s="2">
        <v>6.8</v>
      </c>
      <c r="D113" s="2">
        <v>10</v>
      </c>
      <c r="E113" s="2">
        <v>35</v>
      </c>
      <c r="F113" s="2">
        <v>11.94</v>
      </c>
      <c r="G113" s="2">
        <v>48</v>
      </c>
      <c r="H113" s="2">
        <v>26</v>
      </c>
      <c r="I113" s="2">
        <v>650</v>
      </c>
      <c r="J113" s="2">
        <v>650</v>
      </c>
      <c r="K113" s="2">
        <v>650</v>
      </c>
    </row>
    <row r="114" spans="1:11">
      <c r="A114" s="41"/>
      <c r="B114" s="17">
        <v>46224</v>
      </c>
      <c r="C114" s="2">
        <v>6.8</v>
      </c>
      <c r="D114" s="2">
        <v>10</v>
      </c>
      <c r="E114" s="2">
        <v>35</v>
      </c>
      <c r="F114" s="2">
        <v>11.94</v>
      </c>
      <c r="G114" s="2">
        <v>48</v>
      </c>
      <c r="H114" s="2">
        <v>26</v>
      </c>
      <c r="I114" s="2">
        <v>650</v>
      </c>
      <c r="J114" s="2">
        <v>650</v>
      </c>
      <c r="K114" s="2">
        <v>650</v>
      </c>
    </row>
    <row r="115" spans="1:11">
      <c r="A115" s="41"/>
      <c r="B115" s="17">
        <v>46225</v>
      </c>
      <c r="C115" s="2">
        <v>6.8</v>
      </c>
      <c r="D115" s="2">
        <v>10</v>
      </c>
      <c r="E115" s="2">
        <v>35</v>
      </c>
      <c r="F115" s="2">
        <v>11.94</v>
      </c>
      <c r="G115" s="2">
        <v>48</v>
      </c>
      <c r="H115" s="2">
        <v>26</v>
      </c>
      <c r="I115" s="2">
        <v>650</v>
      </c>
      <c r="J115" s="2">
        <v>650</v>
      </c>
      <c r="K115" s="2">
        <v>650</v>
      </c>
    </row>
    <row r="116" spans="1:11">
      <c r="A116" s="41"/>
      <c r="B116" s="17">
        <v>46226</v>
      </c>
      <c r="C116" s="2">
        <v>6.8</v>
      </c>
      <c r="D116" s="2">
        <v>10</v>
      </c>
      <c r="E116" s="2">
        <v>35</v>
      </c>
      <c r="F116" s="2">
        <v>11.94</v>
      </c>
      <c r="G116" s="2">
        <v>48</v>
      </c>
      <c r="H116" s="2">
        <v>26</v>
      </c>
      <c r="I116" s="2">
        <v>650</v>
      </c>
      <c r="J116" s="2">
        <v>650</v>
      </c>
      <c r="K116" s="2">
        <v>650</v>
      </c>
    </row>
    <row r="117" spans="1:11">
      <c r="A117" s="41"/>
      <c r="B117" s="17">
        <v>46227</v>
      </c>
      <c r="C117" s="2">
        <v>6.8</v>
      </c>
      <c r="D117" s="2">
        <v>10</v>
      </c>
      <c r="E117" s="2">
        <v>35</v>
      </c>
      <c r="F117" s="2">
        <v>11.94</v>
      </c>
      <c r="G117" s="2">
        <v>48</v>
      </c>
      <c r="H117" s="2">
        <v>26</v>
      </c>
      <c r="I117" s="2">
        <v>650</v>
      </c>
      <c r="J117" s="2">
        <v>650</v>
      </c>
      <c r="K117" s="2">
        <v>650</v>
      </c>
    </row>
    <row r="118" spans="1:11">
      <c r="A118" s="41"/>
      <c r="B118" s="17">
        <v>46228</v>
      </c>
      <c r="C118" s="2">
        <v>6.8</v>
      </c>
      <c r="D118" s="2">
        <v>10</v>
      </c>
      <c r="E118" s="2">
        <v>35</v>
      </c>
      <c r="F118" s="2">
        <v>11.94</v>
      </c>
      <c r="G118" s="2">
        <v>48</v>
      </c>
      <c r="H118" s="2">
        <v>26</v>
      </c>
      <c r="I118" s="2">
        <v>650</v>
      </c>
      <c r="J118" s="2">
        <v>650</v>
      </c>
      <c r="K118" s="2">
        <v>650</v>
      </c>
    </row>
    <row r="119" spans="1:11">
      <c r="A119" s="41"/>
      <c r="B119" s="17">
        <v>46229</v>
      </c>
      <c r="C119" s="2">
        <v>6.8</v>
      </c>
      <c r="D119" s="2">
        <v>10</v>
      </c>
      <c r="E119" s="2">
        <v>35</v>
      </c>
      <c r="F119" s="2">
        <v>11.94</v>
      </c>
      <c r="G119" s="2">
        <v>48</v>
      </c>
      <c r="H119" s="2">
        <v>26</v>
      </c>
      <c r="I119" s="2">
        <v>650</v>
      </c>
      <c r="J119" s="2">
        <v>650</v>
      </c>
      <c r="K119" s="2">
        <v>650</v>
      </c>
    </row>
    <row r="120" spans="1:11">
      <c r="A120" s="41"/>
      <c r="B120" s="17">
        <v>46230</v>
      </c>
      <c r="C120" s="2">
        <v>6.8</v>
      </c>
      <c r="D120" s="2">
        <v>10</v>
      </c>
      <c r="E120" s="2">
        <v>35</v>
      </c>
      <c r="F120" s="2">
        <v>11.94</v>
      </c>
      <c r="G120" s="2">
        <v>48</v>
      </c>
      <c r="H120" s="2">
        <v>26</v>
      </c>
      <c r="I120" s="2">
        <v>650</v>
      </c>
      <c r="J120" s="2">
        <v>650</v>
      </c>
      <c r="K120" s="2">
        <v>650</v>
      </c>
    </row>
    <row r="121" spans="1:11">
      <c r="A121" s="41"/>
      <c r="B121" s="17">
        <v>46231</v>
      </c>
      <c r="C121" s="2">
        <v>6.8</v>
      </c>
      <c r="D121" s="2">
        <v>10</v>
      </c>
      <c r="E121" s="2">
        <v>35</v>
      </c>
      <c r="F121" s="2">
        <v>11.94</v>
      </c>
      <c r="G121" s="2">
        <v>48</v>
      </c>
      <c r="H121" s="2">
        <v>26</v>
      </c>
      <c r="I121" s="2">
        <v>650</v>
      </c>
      <c r="J121" s="2">
        <v>650</v>
      </c>
      <c r="K121" s="2">
        <v>650</v>
      </c>
    </row>
    <row r="122" spans="1:11">
      <c r="A122" s="41"/>
      <c r="B122" s="17">
        <v>46232</v>
      </c>
      <c r="C122" s="2">
        <v>6.8</v>
      </c>
      <c r="D122" s="2">
        <v>10</v>
      </c>
      <c r="E122" s="2">
        <v>35</v>
      </c>
      <c r="F122" s="2">
        <v>11.94</v>
      </c>
      <c r="G122" s="2">
        <v>48</v>
      </c>
      <c r="H122" s="2">
        <v>26</v>
      </c>
      <c r="I122" s="2">
        <v>650</v>
      </c>
      <c r="J122" s="2">
        <v>650</v>
      </c>
      <c r="K122" s="2">
        <v>650</v>
      </c>
    </row>
    <row r="123" spans="1:11">
      <c r="A123" s="41"/>
      <c r="B123" s="17">
        <v>46233</v>
      </c>
      <c r="C123" s="2">
        <v>6.8</v>
      </c>
      <c r="D123" s="2">
        <v>10</v>
      </c>
      <c r="E123" s="2">
        <v>35</v>
      </c>
      <c r="F123" s="2">
        <v>11.94</v>
      </c>
      <c r="G123" s="2">
        <v>48</v>
      </c>
      <c r="H123" s="2">
        <v>26</v>
      </c>
      <c r="I123" s="2">
        <v>650</v>
      </c>
      <c r="J123" s="2">
        <v>650</v>
      </c>
      <c r="K123" s="2">
        <v>650</v>
      </c>
    </row>
    <row r="124" spans="1:11">
      <c r="A124" s="42"/>
      <c r="B124" s="17">
        <v>46234</v>
      </c>
      <c r="C124" s="2">
        <v>6.8</v>
      </c>
      <c r="D124" s="2">
        <v>10</v>
      </c>
      <c r="E124" s="2">
        <v>35</v>
      </c>
      <c r="F124" s="2">
        <v>11.94</v>
      </c>
      <c r="G124" s="2">
        <v>48</v>
      </c>
      <c r="H124" s="2">
        <v>26</v>
      </c>
      <c r="I124" s="2">
        <v>650</v>
      </c>
      <c r="J124" s="2">
        <v>650</v>
      </c>
      <c r="K124" s="2">
        <v>650</v>
      </c>
    </row>
    <row r="125" spans="1:11">
      <c r="A125" s="40" t="s">
        <v>12</v>
      </c>
      <c r="B125" s="17">
        <v>46235</v>
      </c>
      <c r="C125" s="2">
        <v>6.8</v>
      </c>
      <c r="D125" s="2">
        <v>10</v>
      </c>
      <c r="E125" s="2">
        <v>35</v>
      </c>
      <c r="F125" s="2">
        <v>11.94</v>
      </c>
      <c r="G125" s="2">
        <v>48</v>
      </c>
      <c r="H125" s="2">
        <v>26</v>
      </c>
      <c r="I125" s="2">
        <v>650</v>
      </c>
      <c r="J125" s="2">
        <v>650</v>
      </c>
      <c r="K125" s="2">
        <v>650</v>
      </c>
    </row>
    <row r="126" spans="1:11">
      <c r="A126" s="41"/>
      <c r="B126" s="17">
        <v>46236</v>
      </c>
      <c r="C126" s="2">
        <v>6.8</v>
      </c>
      <c r="D126" s="2">
        <v>10</v>
      </c>
      <c r="E126" s="2">
        <v>35</v>
      </c>
      <c r="F126" s="2">
        <v>11.94</v>
      </c>
      <c r="G126" s="2">
        <v>48</v>
      </c>
      <c r="H126" s="2">
        <v>26</v>
      </c>
      <c r="I126" s="2">
        <v>650</v>
      </c>
      <c r="J126" s="2">
        <v>650</v>
      </c>
      <c r="K126" s="2">
        <v>650</v>
      </c>
    </row>
    <row r="127" spans="1:11">
      <c r="A127" s="41"/>
      <c r="B127" s="17">
        <v>46237</v>
      </c>
      <c r="C127" s="2">
        <v>6.8</v>
      </c>
      <c r="D127" s="2">
        <v>10</v>
      </c>
      <c r="E127" s="2">
        <v>35</v>
      </c>
      <c r="F127" s="2">
        <v>11.94</v>
      </c>
      <c r="G127" s="2">
        <v>48</v>
      </c>
      <c r="H127" s="2">
        <v>26</v>
      </c>
      <c r="I127" s="2">
        <v>650</v>
      </c>
      <c r="J127" s="2">
        <v>650</v>
      </c>
      <c r="K127" s="2">
        <v>650</v>
      </c>
    </row>
    <row r="128" spans="1:11">
      <c r="A128" s="41"/>
      <c r="B128" s="17">
        <v>46238</v>
      </c>
      <c r="C128" s="2">
        <v>6.8</v>
      </c>
      <c r="D128" s="2">
        <v>10</v>
      </c>
      <c r="E128" s="2">
        <v>35</v>
      </c>
      <c r="F128" s="2">
        <v>11.94</v>
      </c>
      <c r="G128" s="2">
        <v>48</v>
      </c>
      <c r="H128" s="2">
        <v>26</v>
      </c>
      <c r="I128" s="2">
        <v>650</v>
      </c>
      <c r="J128" s="2">
        <v>650</v>
      </c>
      <c r="K128" s="2">
        <v>650</v>
      </c>
    </row>
    <row r="129" spans="1:11">
      <c r="A129" s="41"/>
      <c r="B129" s="17">
        <v>46239</v>
      </c>
      <c r="C129" s="2">
        <v>6.8</v>
      </c>
      <c r="D129" s="2">
        <v>10</v>
      </c>
      <c r="E129" s="2">
        <v>35</v>
      </c>
      <c r="F129" s="2">
        <v>11.94</v>
      </c>
      <c r="G129" s="2">
        <v>48</v>
      </c>
      <c r="H129" s="2">
        <v>26</v>
      </c>
      <c r="I129" s="2">
        <v>650</v>
      </c>
      <c r="J129" s="2">
        <v>650</v>
      </c>
      <c r="K129" s="2">
        <v>650</v>
      </c>
    </row>
    <row r="130" spans="1:11">
      <c r="A130" s="41"/>
      <c r="B130" s="17">
        <v>46240</v>
      </c>
      <c r="C130" s="2">
        <v>6.8</v>
      </c>
      <c r="D130" s="2">
        <v>10</v>
      </c>
      <c r="E130" s="2">
        <v>35</v>
      </c>
      <c r="F130" s="2">
        <v>11.94</v>
      </c>
      <c r="G130" s="2">
        <v>48</v>
      </c>
      <c r="H130" s="2">
        <v>26</v>
      </c>
      <c r="I130" s="2">
        <v>650</v>
      </c>
      <c r="J130" s="2">
        <v>650</v>
      </c>
      <c r="K130" s="2">
        <v>650</v>
      </c>
    </row>
    <row r="131" spans="1:11">
      <c r="A131" s="41"/>
      <c r="B131" s="17">
        <v>46241</v>
      </c>
      <c r="C131" s="2">
        <v>6.8</v>
      </c>
      <c r="D131" s="2">
        <v>10</v>
      </c>
      <c r="E131" s="2">
        <v>35</v>
      </c>
      <c r="F131" s="2">
        <v>11.94</v>
      </c>
      <c r="G131" s="2">
        <v>48</v>
      </c>
      <c r="H131" s="2">
        <v>26</v>
      </c>
      <c r="I131" s="2">
        <v>650</v>
      </c>
      <c r="J131" s="2">
        <v>650</v>
      </c>
      <c r="K131" s="2">
        <v>650</v>
      </c>
    </row>
    <row r="132" spans="1:11">
      <c r="A132" s="41"/>
      <c r="B132" s="17">
        <v>46242</v>
      </c>
      <c r="C132" s="2">
        <v>6.8</v>
      </c>
      <c r="D132" s="2">
        <v>10</v>
      </c>
      <c r="E132" s="2">
        <v>35</v>
      </c>
      <c r="F132" s="2">
        <v>11.94</v>
      </c>
      <c r="G132" s="2">
        <v>48</v>
      </c>
      <c r="H132" s="2">
        <v>26</v>
      </c>
      <c r="I132" s="2">
        <v>650</v>
      </c>
      <c r="J132" s="2">
        <v>650</v>
      </c>
      <c r="K132" s="2">
        <v>650</v>
      </c>
    </row>
    <row r="133" spans="1:11">
      <c r="A133" s="41"/>
      <c r="B133" s="17">
        <v>46243</v>
      </c>
      <c r="C133" s="2">
        <v>6.8</v>
      </c>
      <c r="D133" s="2">
        <v>10</v>
      </c>
      <c r="E133" s="2">
        <v>35</v>
      </c>
      <c r="F133" s="2">
        <v>11.94</v>
      </c>
      <c r="G133" s="2">
        <v>48</v>
      </c>
      <c r="H133" s="2">
        <v>26</v>
      </c>
      <c r="I133" s="2">
        <v>650</v>
      </c>
      <c r="J133" s="2">
        <v>650</v>
      </c>
      <c r="K133" s="2">
        <v>650</v>
      </c>
    </row>
    <row r="134" spans="1:11">
      <c r="A134" s="41"/>
      <c r="B134" s="17">
        <v>46244</v>
      </c>
      <c r="C134" s="2">
        <v>6.8</v>
      </c>
      <c r="D134" s="2">
        <v>10</v>
      </c>
      <c r="E134" s="2">
        <v>35</v>
      </c>
      <c r="F134" s="2">
        <v>11.94</v>
      </c>
      <c r="G134" s="2">
        <v>48</v>
      </c>
      <c r="H134" s="2">
        <v>26</v>
      </c>
      <c r="I134" s="2">
        <v>650</v>
      </c>
      <c r="J134" s="2">
        <v>650</v>
      </c>
      <c r="K134" s="2">
        <v>650</v>
      </c>
    </row>
    <row r="135" spans="1:11">
      <c r="A135" s="41"/>
      <c r="B135" s="17">
        <v>46245</v>
      </c>
      <c r="C135" s="2">
        <v>6.8</v>
      </c>
      <c r="D135" s="2">
        <v>10</v>
      </c>
      <c r="E135" s="2">
        <v>35</v>
      </c>
      <c r="F135" s="2">
        <v>11.94</v>
      </c>
      <c r="G135" s="2">
        <v>48</v>
      </c>
      <c r="H135" s="2">
        <v>26</v>
      </c>
      <c r="I135" s="2">
        <v>650</v>
      </c>
      <c r="J135" s="2">
        <v>650</v>
      </c>
      <c r="K135" s="2">
        <v>650</v>
      </c>
    </row>
    <row r="136" spans="1:11">
      <c r="A136" s="41"/>
      <c r="B136" s="17">
        <v>46246</v>
      </c>
      <c r="C136" s="2">
        <v>6.8</v>
      </c>
      <c r="D136" s="2">
        <v>10</v>
      </c>
      <c r="E136" s="2">
        <v>35</v>
      </c>
      <c r="F136" s="2">
        <v>11.94</v>
      </c>
      <c r="G136" s="2">
        <v>48</v>
      </c>
      <c r="H136" s="2">
        <v>26</v>
      </c>
      <c r="I136" s="2">
        <v>650</v>
      </c>
      <c r="J136" s="2">
        <v>650</v>
      </c>
      <c r="K136" s="2">
        <v>650</v>
      </c>
    </row>
    <row r="137" spans="1:11">
      <c r="A137" s="41"/>
      <c r="B137" s="17">
        <v>46247</v>
      </c>
      <c r="C137" s="2">
        <v>6.8</v>
      </c>
      <c r="D137" s="2">
        <v>10</v>
      </c>
      <c r="E137" s="2">
        <v>35</v>
      </c>
      <c r="F137" s="2">
        <v>11.94</v>
      </c>
      <c r="G137" s="2">
        <v>48</v>
      </c>
      <c r="H137" s="2">
        <v>26</v>
      </c>
      <c r="I137" s="2">
        <v>650</v>
      </c>
      <c r="J137" s="2">
        <v>650</v>
      </c>
      <c r="K137" s="2">
        <v>650</v>
      </c>
    </row>
    <row r="138" spans="1:11">
      <c r="A138" s="41"/>
      <c r="B138" s="17">
        <v>46248</v>
      </c>
      <c r="C138" s="2">
        <v>6.8</v>
      </c>
      <c r="D138" s="2">
        <v>10</v>
      </c>
      <c r="E138" s="2">
        <v>35</v>
      </c>
      <c r="F138" s="2">
        <v>11.94</v>
      </c>
      <c r="G138" s="2">
        <v>48</v>
      </c>
      <c r="H138" s="2">
        <v>26</v>
      </c>
      <c r="I138" s="2">
        <v>650</v>
      </c>
      <c r="J138" s="2">
        <v>650</v>
      </c>
      <c r="K138" s="2">
        <v>650</v>
      </c>
    </row>
    <row r="139" spans="1:11">
      <c r="A139" s="41"/>
      <c r="B139" s="17">
        <v>46249</v>
      </c>
      <c r="C139" s="2">
        <v>6.8</v>
      </c>
      <c r="D139" s="2">
        <v>10</v>
      </c>
      <c r="E139" s="2">
        <v>35</v>
      </c>
      <c r="F139" s="2">
        <v>11.94</v>
      </c>
      <c r="G139" s="2">
        <v>48</v>
      </c>
      <c r="H139" s="2">
        <v>26</v>
      </c>
      <c r="I139" s="2">
        <v>650</v>
      </c>
      <c r="J139" s="2">
        <v>650</v>
      </c>
      <c r="K139" s="2">
        <v>650</v>
      </c>
    </row>
    <row r="140" spans="1:11">
      <c r="A140" s="41"/>
      <c r="B140" s="17">
        <v>46250</v>
      </c>
      <c r="C140" s="2">
        <v>6.8</v>
      </c>
      <c r="D140" s="2">
        <v>10</v>
      </c>
      <c r="E140" s="2">
        <v>35</v>
      </c>
      <c r="F140" s="2">
        <v>11.94</v>
      </c>
      <c r="G140" s="2">
        <v>48</v>
      </c>
      <c r="H140" s="2">
        <v>26</v>
      </c>
      <c r="I140" s="2">
        <v>650</v>
      </c>
      <c r="J140" s="2">
        <v>650</v>
      </c>
      <c r="K140" s="2">
        <v>650</v>
      </c>
    </row>
    <row r="141" spans="1:11">
      <c r="A141" s="41"/>
      <c r="B141" s="17">
        <v>46251</v>
      </c>
      <c r="C141" s="2">
        <v>6.8</v>
      </c>
      <c r="D141" s="2">
        <v>10</v>
      </c>
      <c r="E141" s="2">
        <v>35</v>
      </c>
      <c r="F141" s="2">
        <v>11.94</v>
      </c>
      <c r="G141" s="2">
        <v>48</v>
      </c>
      <c r="H141" s="2">
        <v>26</v>
      </c>
      <c r="I141" s="2">
        <v>650</v>
      </c>
      <c r="J141" s="2">
        <v>650</v>
      </c>
      <c r="K141" s="2">
        <v>650</v>
      </c>
    </row>
    <row r="142" spans="1:11">
      <c r="A142" s="41"/>
      <c r="B142" s="17">
        <v>46252</v>
      </c>
      <c r="C142" s="2">
        <v>6.8</v>
      </c>
      <c r="D142" s="2">
        <v>10</v>
      </c>
      <c r="E142" s="2">
        <v>35</v>
      </c>
      <c r="F142" s="2">
        <v>11.94</v>
      </c>
      <c r="G142" s="2">
        <v>48</v>
      </c>
      <c r="H142" s="2">
        <v>26</v>
      </c>
      <c r="I142" s="2">
        <v>650</v>
      </c>
      <c r="J142" s="2">
        <v>650</v>
      </c>
      <c r="K142" s="2">
        <v>650</v>
      </c>
    </row>
    <row r="143" spans="1:11">
      <c r="A143" s="41"/>
      <c r="B143" s="17">
        <v>46253</v>
      </c>
      <c r="C143" s="2">
        <v>6.8</v>
      </c>
      <c r="D143" s="2">
        <v>10</v>
      </c>
      <c r="E143" s="2">
        <v>35</v>
      </c>
      <c r="F143" s="2">
        <v>11.94</v>
      </c>
      <c r="G143" s="2">
        <v>48</v>
      </c>
      <c r="H143" s="2">
        <v>26</v>
      </c>
      <c r="I143" s="2">
        <v>650</v>
      </c>
      <c r="J143" s="2">
        <v>650</v>
      </c>
      <c r="K143" s="2">
        <v>650</v>
      </c>
    </row>
    <row r="144" spans="1:11">
      <c r="A144" s="41"/>
      <c r="B144" s="17">
        <v>46254</v>
      </c>
      <c r="C144" s="2">
        <v>6.8</v>
      </c>
      <c r="D144" s="2">
        <v>10</v>
      </c>
      <c r="E144" s="2">
        <v>35</v>
      </c>
      <c r="F144" s="2">
        <v>11.94</v>
      </c>
      <c r="G144" s="2">
        <v>48</v>
      </c>
      <c r="H144" s="2">
        <v>26</v>
      </c>
      <c r="I144" s="2">
        <v>650</v>
      </c>
      <c r="J144" s="2">
        <v>650</v>
      </c>
      <c r="K144" s="2">
        <v>650</v>
      </c>
    </row>
    <row r="145" spans="1:11">
      <c r="A145" s="41"/>
      <c r="B145" s="17">
        <v>46255</v>
      </c>
      <c r="C145" s="2">
        <v>6.8</v>
      </c>
      <c r="D145" s="2">
        <v>10</v>
      </c>
      <c r="E145" s="2">
        <v>35</v>
      </c>
      <c r="F145" s="2">
        <v>11.94</v>
      </c>
      <c r="G145" s="2">
        <v>48</v>
      </c>
      <c r="H145" s="2">
        <v>26</v>
      </c>
      <c r="I145" s="2">
        <v>650</v>
      </c>
      <c r="J145" s="2">
        <v>650</v>
      </c>
      <c r="K145" s="2">
        <v>650</v>
      </c>
    </row>
    <row r="146" spans="1:11">
      <c r="A146" s="41"/>
      <c r="B146" s="17">
        <v>46256</v>
      </c>
      <c r="C146" s="2">
        <v>6.8</v>
      </c>
      <c r="D146" s="2">
        <v>10</v>
      </c>
      <c r="E146" s="2">
        <v>35</v>
      </c>
      <c r="F146" s="2">
        <v>11.94</v>
      </c>
      <c r="G146" s="2">
        <v>48</v>
      </c>
      <c r="H146" s="2">
        <v>26</v>
      </c>
      <c r="I146" s="2">
        <v>650</v>
      </c>
      <c r="J146" s="2">
        <v>650</v>
      </c>
      <c r="K146" s="2">
        <v>650</v>
      </c>
    </row>
    <row r="147" spans="1:11">
      <c r="A147" s="41"/>
      <c r="B147" s="17">
        <v>46257</v>
      </c>
      <c r="C147" s="2">
        <v>6.8</v>
      </c>
      <c r="D147" s="2">
        <v>10</v>
      </c>
      <c r="E147" s="2">
        <v>35</v>
      </c>
      <c r="F147" s="2">
        <v>11.94</v>
      </c>
      <c r="G147" s="2">
        <v>48</v>
      </c>
      <c r="H147" s="2">
        <v>26</v>
      </c>
      <c r="I147" s="2">
        <v>650</v>
      </c>
      <c r="J147" s="2">
        <v>650</v>
      </c>
      <c r="K147" s="2">
        <v>650</v>
      </c>
    </row>
    <row r="148" spans="1:11">
      <c r="A148" s="41"/>
      <c r="B148" s="17">
        <v>46258</v>
      </c>
      <c r="C148" s="2">
        <v>6.8</v>
      </c>
      <c r="D148" s="2">
        <v>10</v>
      </c>
      <c r="E148" s="2">
        <v>35</v>
      </c>
      <c r="F148" s="2">
        <v>11.94</v>
      </c>
      <c r="G148" s="2">
        <v>48</v>
      </c>
      <c r="H148" s="2">
        <v>26</v>
      </c>
      <c r="I148" s="2">
        <v>650</v>
      </c>
      <c r="J148" s="2">
        <v>650</v>
      </c>
      <c r="K148" s="2">
        <v>650</v>
      </c>
    </row>
    <row r="149" spans="1:11">
      <c r="A149" s="41"/>
      <c r="B149" s="17">
        <v>46259</v>
      </c>
      <c r="C149" s="2">
        <v>6.8</v>
      </c>
      <c r="D149" s="2">
        <v>10</v>
      </c>
      <c r="E149" s="2">
        <v>35</v>
      </c>
      <c r="F149" s="2">
        <v>11.94</v>
      </c>
      <c r="G149" s="2">
        <v>48</v>
      </c>
      <c r="H149" s="2">
        <v>26</v>
      </c>
      <c r="I149" s="2">
        <v>650</v>
      </c>
      <c r="J149" s="2">
        <v>650</v>
      </c>
      <c r="K149" s="2">
        <v>650</v>
      </c>
    </row>
    <row r="150" spans="1:11">
      <c r="A150" s="41"/>
      <c r="B150" s="17">
        <v>46260</v>
      </c>
      <c r="C150" s="2">
        <v>6.8</v>
      </c>
      <c r="D150" s="2">
        <v>10</v>
      </c>
      <c r="E150" s="2">
        <v>35</v>
      </c>
      <c r="F150" s="2">
        <v>11.94</v>
      </c>
      <c r="G150" s="2">
        <v>48</v>
      </c>
      <c r="H150" s="2">
        <v>26</v>
      </c>
      <c r="I150" s="2">
        <v>650</v>
      </c>
      <c r="J150" s="2">
        <v>650</v>
      </c>
      <c r="K150" s="2">
        <v>650</v>
      </c>
    </row>
    <row r="151" spans="1:11">
      <c r="A151" s="41"/>
      <c r="B151" s="17">
        <v>46261</v>
      </c>
      <c r="C151" s="2">
        <v>6.8</v>
      </c>
      <c r="D151" s="2">
        <v>10</v>
      </c>
      <c r="E151" s="2">
        <v>35</v>
      </c>
      <c r="F151" s="2">
        <v>11.94</v>
      </c>
      <c r="G151" s="2">
        <v>48</v>
      </c>
      <c r="H151" s="2">
        <v>26</v>
      </c>
      <c r="I151" s="2">
        <v>650</v>
      </c>
      <c r="J151" s="2">
        <v>650</v>
      </c>
      <c r="K151" s="2">
        <v>650</v>
      </c>
    </row>
    <row r="152" spans="1:11">
      <c r="A152" s="41"/>
      <c r="B152" s="17">
        <v>46262</v>
      </c>
      <c r="C152" s="2">
        <v>6.8</v>
      </c>
      <c r="D152" s="2">
        <v>10</v>
      </c>
      <c r="E152" s="2">
        <v>35</v>
      </c>
      <c r="F152" s="2">
        <v>11.94</v>
      </c>
      <c r="G152" s="2">
        <v>48</v>
      </c>
      <c r="H152" s="2">
        <v>26</v>
      </c>
      <c r="I152" s="2">
        <v>650</v>
      </c>
      <c r="J152" s="2">
        <v>650</v>
      </c>
      <c r="K152" s="2">
        <v>650</v>
      </c>
    </row>
    <row r="153" spans="1:11">
      <c r="A153" s="41"/>
      <c r="B153" s="17">
        <v>46263</v>
      </c>
      <c r="C153" s="2">
        <v>6.8</v>
      </c>
      <c r="D153" s="2">
        <v>10</v>
      </c>
      <c r="E153" s="2">
        <v>35</v>
      </c>
      <c r="F153" s="2">
        <v>11.94</v>
      </c>
      <c r="G153" s="2">
        <v>48</v>
      </c>
      <c r="H153" s="2">
        <v>26</v>
      </c>
      <c r="I153" s="2">
        <v>650</v>
      </c>
      <c r="J153" s="2">
        <v>650</v>
      </c>
      <c r="K153" s="2">
        <v>650</v>
      </c>
    </row>
    <row r="154" spans="1:11">
      <c r="A154" s="41"/>
      <c r="B154" s="17">
        <v>46264</v>
      </c>
      <c r="C154" s="2">
        <v>6.8</v>
      </c>
      <c r="D154" s="2">
        <v>10</v>
      </c>
      <c r="E154" s="2">
        <v>35</v>
      </c>
      <c r="F154" s="2">
        <v>11.94</v>
      </c>
      <c r="G154" s="2">
        <v>48</v>
      </c>
      <c r="H154" s="2">
        <v>26</v>
      </c>
      <c r="I154" s="2">
        <v>650</v>
      </c>
      <c r="J154" s="2">
        <v>650</v>
      </c>
      <c r="K154" s="2">
        <v>650</v>
      </c>
    </row>
    <row r="155" spans="1:11">
      <c r="A155" s="42"/>
      <c r="B155" s="17">
        <v>46265</v>
      </c>
      <c r="C155" s="2">
        <v>6.8</v>
      </c>
      <c r="D155" s="2">
        <v>10</v>
      </c>
      <c r="E155" s="2">
        <v>35</v>
      </c>
      <c r="F155" s="2">
        <v>11.94</v>
      </c>
      <c r="G155" s="2">
        <v>48</v>
      </c>
      <c r="H155" s="2">
        <v>26</v>
      </c>
      <c r="I155" s="2">
        <v>650</v>
      </c>
      <c r="J155" s="2">
        <v>650</v>
      </c>
      <c r="K155" s="2">
        <v>650</v>
      </c>
    </row>
    <row r="156" spans="1:11">
      <c r="A156" s="40" t="s">
        <v>13</v>
      </c>
      <c r="B156" s="17">
        <v>46266</v>
      </c>
      <c r="C156" s="2">
        <v>6.8</v>
      </c>
      <c r="D156" s="2">
        <v>10</v>
      </c>
      <c r="E156" s="2">
        <v>35</v>
      </c>
      <c r="F156" s="2">
        <v>11.94</v>
      </c>
      <c r="G156" s="2">
        <v>48</v>
      </c>
      <c r="H156" s="2">
        <v>26</v>
      </c>
      <c r="I156" s="2">
        <v>650</v>
      </c>
      <c r="J156" s="2">
        <v>650</v>
      </c>
      <c r="K156" s="2">
        <v>650</v>
      </c>
    </row>
    <row r="157" spans="1:11">
      <c r="A157" s="41"/>
      <c r="B157" s="17">
        <v>46267</v>
      </c>
      <c r="C157" s="2">
        <v>6.8</v>
      </c>
      <c r="D157" s="2">
        <v>10</v>
      </c>
      <c r="E157" s="2">
        <v>35</v>
      </c>
      <c r="F157" s="2">
        <v>11.94</v>
      </c>
      <c r="G157" s="2">
        <v>48</v>
      </c>
      <c r="H157" s="2">
        <v>26</v>
      </c>
      <c r="I157" s="2">
        <v>650</v>
      </c>
      <c r="J157" s="2">
        <v>650</v>
      </c>
      <c r="K157" s="2">
        <v>650</v>
      </c>
    </row>
    <row r="158" spans="1:11">
      <c r="A158" s="41"/>
      <c r="B158" s="17">
        <v>46268</v>
      </c>
      <c r="C158" s="2">
        <v>6.8</v>
      </c>
      <c r="D158" s="2">
        <v>10</v>
      </c>
      <c r="E158" s="2">
        <v>35</v>
      </c>
      <c r="F158" s="2">
        <v>11.94</v>
      </c>
      <c r="G158" s="2">
        <v>48</v>
      </c>
      <c r="H158" s="2">
        <v>26</v>
      </c>
      <c r="I158" s="2">
        <v>650</v>
      </c>
      <c r="J158" s="2">
        <v>650</v>
      </c>
      <c r="K158" s="2">
        <v>650</v>
      </c>
    </row>
    <row r="159" spans="1:11">
      <c r="A159" s="41"/>
      <c r="B159" s="17">
        <v>46269</v>
      </c>
      <c r="C159" s="2">
        <v>6.8</v>
      </c>
      <c r="D159" s="2">
        <v>10</v>
      </c>
      <c r="E159" s="2">
        <v>35</v>
      </c>
      <c r="F159" s="2">
        <v>11.94</v>
      </c>
      <c r="G159" s="2">
        <v>48</v>
      </c>
      <c r="H159" s="2">
        <v>26</v>
      </c>
      <c r="I159" s="2">
        <v>650</v>
      </c>
      <c r="J159" s="2">
        <v>650</v>
      </c>
      <c r="K159" s="2">
        <v>650</v>
      </c>
    </row>
    <row r="160" spans="1:11">
      <c r="A160" s="41"/>
      <c r="B160" s="17">
        <v>46270</v>
      </c>
      <c r="C160" s="2">
        <v>6.8</v>
      </c>
      <c r="D160" s="2">
        <v>10</v>
      </c>
      <c r="E160" s="2">
        <v>35</v>
      </c>
      <c r="F160" s="2">
        <v>11.94</v>
      </c>
      <c r="G160" s="2">
        <v>48</v>
      </c>
      <c r="H160" s="2">
        <v>26</v>
      </c>
      <c r="I160" s="2">
        <v>650</v>
      </c>
      <c r="J160" s="2">
        <v>650</v>
      </c>
      <c r="K160" s="2">
        <v>650</v>
      </c>
    </row>
    <row r="161" spans="1:11">
      <c r="A161" s="41"/>
      <c r="B161" s="17">
        <v>46271</v>
      </c>
      <c r="C161" s="2">
        <v>6.8</v>
      </c>
      <c r="D161" s="2">
        <v>10</v>
      </c>
      <c r="E161" s="2">
        <v>35</v>
      </c>
      <c r="F161" s="2">
        <v>11.94</v>
      </c>
      <c r="G161" s="2">
        <v>48</v>
      </c>
      <c r="H161" s="2">
        <v>26</v>
      </c>
      <c r="I161" s="2">
        <v>650</v>
      </c>
      <c r="J161" s="2">
        <v>650</v>
      </c>
      <c r="K161" s="2">
        <v>650</v>
      </c>
    </row>
    <row r="162" spans="1:11">
      <c r="A162" s="41"/>
      <c r="B162" s="17">
        <v>46272</v>
      </c>
      <c r="C162" s="2">
        <v>6.8</v>
      </c>
      <c r="D162" s="2">
        <v>10</v>
      </c>
      <c r="E162" s="2">
        <v>35</v>
      </c>
      <c r="F162" s="2">
        <v>11.94</v>
      </c>
      <c r="G162" s="2">
        <v>48</v>
      </c>
      <c r="H162" s="2">
        <v>26</v>
      </c>
      <c r="I162" s="2">
        <v>650</v>
      </c>
      <c r="J162" s="2">
        <v>650</v>
      </c>
      <c r="K162" s="2">
        <v>650</v>
      </c>
    </row>
    <row r="163" spans="1:11">
      <c r="A163" s="41"/>
      <c r="B163" s="17">
        <v>46273</v>
      </c>
      <c r="C163" s="2">
        <v>6.8</v>
      </c>
      <c r="D163" s="2">
        <v>10</v>
      </c>
      <c r="E163" s="2">
        <v>35</v>
      </c>
      <c r="F163" s="2">
        <v>11.94</v>
      </c>
      <c r="G163" s="2">
        <v>48</v>
      </c>
      <c r="H163" s="2">
        <v>26</v>
      </c>
      <c r="I163" s="2">
        <v>650</v>
      </c>
      <c r="J163" s="2">
        <v>650</v>
      </c>
      <c r="K163" s="2">
        <v>650</v>
      </c>
    </row>
    <row r="164" spans="1:11">
      <c r="A164" s="41"/>
      <c r="B164" s="17">
        <v>46274</v>
      </c>
      <c r="C164" s="2">
        <v>6.8</v>
      </c>
      <c r="D164" s="2">
        <v>10</v>
      </c>
      <c r="E164" s="2">
        <v>35</v>
      </c>
      <c r="F164" s="2">
        <v>11.94</v>
      </c>
      <c r="G164" s="2">
        <v>48</v>
      </c>
      <c r="H164" s="2">
        <v>26</v>
      </c>
      <c r="I164" s="2">
        <v>650</v>
      </c>
      <c r="J164" s="2">
        <v>650</v>
      </c>
      <c r="K164" s="2">
        <v>650</v>
      </c>
    </row>
    <row r="165" spans="1:11">
      <c r="A165" s="41"/>
      <c r="B165" s="17">
        <v>46275</v>
      </c>
      <c r="C165" s="2">
        <v>6.8</v>
      </c>
      <c r="D165" s="2">
        <v>10</v>
      </c>
      <c r="E165" s="2">
        <v>35</v>
      </c>
      <c r="F165" s="2">
        <v>11.94</v>
      </c>
      <c r="G165" s="2">
        <v>48</v>
      </c>
      <c r="H165" s="2">
        <v>26</v>
      </c>
      <c r="I165" s="2">
        <v>650</v>
      </c>
      <c r="J165" s="2">
        <v>650</v>
      </c>
      <c r="K165" s="2">
        <v>650</v>
      </c>
    </row>
    <row r="166" spans="1:11">
      <c r="A166" s="41"/>
      <c r="B166" s="17">
        <v>46276</v>
      </c>
      <c r="C166" s="2">
        <v>6.8</v>
      </c>
      <c r="D166" s="2">
        <v>10</v>
      </c>
      <c r="E166" s="2">
        <v>35</v>
      </c>
      <c r="F166" s="2">
        <v>11.94</v>
      </c>
      <c r="G166" s="2">
        <v>48</v>
      </c>
      <c r="H166" s="2">
        <v>26</v>
      </c>
      <c r="I166" s="2">
        <v>650</v>
      </c>
      <c r="J166" s="2">
        <v>650</v>
      </c>
      <c r="K166" s="2">
        <v>650</v>
      </c>
    </row>
    <row r="167" spans="1:11">
      <c r="A167" s="41"/>
      <c r="B167" s="17">
        <v>46277</v>
      </c>
      <c r="C167" s="2">
        <v>6.8</v>
      </c>
      <c r="D167" s="2">
        <v>10</v>
      </c>
      <c r="E167" s="2">
        <v>35</v>
      </c>
      <c r="F167" s="2">
        <v>11.94</v>
      </c>
      <c r="G167" s="2">
        <v>48</v>
      </c>
      <c r="H167" s="2">
        <v>26</v>
      </c>
      <c r="I167" s="2">
        <v>650</v>
      </c>
      <c r="J167" s="2">
        <v>650</v>
      </c>
      <c r="K167" s="2">
        <v>650</v>
      </c>
    </row>
    <row r="168" spans="1:11">
      <c r="A168" s="41"/>
      <c r="B168" s="17">
        <v>46278</v>
      </c>
      <c r="C168" s="2">
        <v>6.8</v>
      </c>
      <c r="D168" s="2">
        <v>10</v>
      </c>
      <c r="E168" s="2">
        <v>35</v>
      </c>
      <c r="F168" s="2">
        <v>11.94</v>
      </c>
      <c r="G168" s="2">
        <v>48</v>
      </c>
      <c r="H168" s="2">
        <v>26</v>
      </c>
      <c r="I168" s="2">
        <v>650</v>
      </c>
      <c r="J168" s="2">
        <v>650</v>
      </c>
      <c r="K168" s="2">
        <v>650</v>
      </c>
    </row>
    <row r="169" spans="1:11">
      <c r="A169" s="41"/>
      <c r="B169" s="17">
        <v>46279</v>
      </c>
      <c r="C169" s="2">
        <v>6.8</v>
      </c>
      <c r="D169" s="2">
        <v>10</v>
      </c>
      <c r="E169" s="2">
        <v>35</v>
      </c>
      <c r="F169" s="2">
        <v>11.94</v>
      </c>
      <c r="G169" s="2">
        <v>48</v>
      </c>
      <c r="H169" s="2">
        <v>26</v>
      </c>
      <c r="I169" s="2">
        <v>650</v>
      </c>
      <c r="J169" s="2">
        <v>650</v>
      </c>
      <c r="K169" s="2">
        <v>650</v>
      </c>
    </row>
    <row r="170" spans="1:11">
      <c r="A170" s="41"/>
      <c r="B170" s="17">
        <v>46280</v>
      </c>
      <c r="C170" s="2">
        <v>6.8</v>
      </c>
      <c r="D170" s="2">
        <v>10</v>
      </c>
      <c r="E170" s="2">
        <v>35</v>
      </c>
      <c r="F170" s="2">
        <v>11.94</v>
      </c>
      <c r="G170" s="2">
        <v>48</v>
      </c>
      <c r="H170" s="2">
        <v>26</v>
      </c>
      <c r="I170" s="2">
        <v>650</v>
      </c>
      <c r="J170" s="2">
        <v>650</v>
      </c>
      <c r="K170" s="2">
        <v>650</v>
      </c>
    </row>
    <row r="171" spans="1:11">
      <c r="A171" s="41"/>
      <c r="B171" s="17">
        <v>46281</v>
      </c>
      <c r="C171" s="2">
        <v>6.8</v>
      </c>
      <c r="D171" s="2">
        <v>10</v>
      </c>
      <c r="E171" s="2">
        <v>35</v>
      </c>
      <c r="F171" s="2">
        <v>11.94</v>
      </c>
      <c r="G171" s="2">
        <v>48</v>
      </c>
      <c r="H171" s="2">
        <v>26</v>
      </c>
      <c r="I171" s="2">
        <v>650</v>
      </c>
      <c r="J171" s="2">
        <v>650</v>
      </c>
      <c r="K171" s="2">
        <v>650</v>
      </c>
    </row>
    <row r="172" spans="1:11">
      <c r="A172" s="41"/>
      <c r="B172" s="17">
        <v>46282</v>
      </c>
      <c r="C172" s="2">
        <v>6.8</v>
      </c>
      <c r="D172" s="2">
        <v>10</v>
      </c>
      <c r="E172" s="2">
        <v>35</v>
      </c>
      <c r="F172" s="2">
        <v>11.94</v>
      </c>
      <c r="G172" s="2">
        <v>48</v>
      </c>
      <c r="H172" s="2">
        <v>26</v>
      </c>
      <c r="I172" s="2">
        <v>650</v>
      </c>
      <c r="J172" s="2">
        <v>650</v>
      </c>
      <c r="K172" s="2">
        <v>650</v>
      </c>
    </row>
    <row r="173" spans="1:11">
      <c r="A173" s="41"/>
      <c r="B173" s="17">
        <v>46283</v>
      </c>
      <c r="C173" s="2">
        <v>6.8</v>
      </c>
      <c r="D173" s="2">
        <v>10</v>
      </c>
      <c r="E173" s="2">
        <v>35</v>
      </c>
      <c r="F173" s="2">
        <v>11.94</v>
      </c>
      <c r="G173" s="2">
        <v>48</v>
      </c>
      <c r="H173" s="2">
        <v>26</v>
      </c>
      <c r="I173" s="2">
        <v>650</v>
      </c>
      <c r="J173" s="2">
        <v>650</v>
      </c>
      <c r="K173" s="2">
        <v>650</v>
      </c>
    </row>
    <row r="174" spans="1:11">
      <c r="A174" s="41"/>
      <c r="B174" s="17">
        <v>46284</v>
      </c>
      <c r="C174" s="2">
        <v>6.8</v>
      </c>
      <c r="D174" s="2">
        <v>10</v>
      </c>
      <c r="E174" s="2">
        <v>35</v>
      </c>
      <c r="F174" s="2">
        <v>11.94</v>
      </c>
      <c r="G174" s="2">
        <v>48</v>
      </c>
      <c r="H174" s="2">
        <v>26</v>
      </c>
      <c r="I174" s="2">
        <v>650</v>
      </c>
      <c r="J174" s="2">
        <v>650</v>
      </c>
      <c r="K174" s="2">
        <v>650</v>
      </c>
    </row>
    <row r="175" spans="1:11">
      <c r="A175" s="41"/>
      <c r="B175" s="17">
        <v>46285</v>
      </c>
      <c r="C175" s="2">
        <v>6.8</v>
      </c>
      <c r="D175" s="2">
        <v>10</v>
      </c>
      <c r="E175" s="2">
        <v>35</v>
      </c>
      <c r="F175" s="2">
        <v>11.94</v>
      </c>
      <c r="G175" s="2">
        <v>48</v>
      </c>
      <c r="H175" s="2">
        <v>26</v>
      </c>
      <c r="I175" s="2">
        <v>650</v>
      </c>
      <c r="J175" s="2">
        <v>650</v>
      </c>
      <c r="K175" s="2">
        <v>650</v>
      </c>
    </row>
    <row r="176" spans="1:11">
      <c r="A176" s="41"/>
      <c r="B176" s="17">
        <v>46286</v>
      </c>
      <c r="C176" s="2">
        <v>6.8</v>
      </c>
      <c r="D176" s="2">
        <v>10</v>
      </c>
      <c r="E176" s="2">
        <v>35</v>
      </c>
      <c r="F176" s="2">
        <v>11.94</v>
      </c>
      <c r="G176" s="2">
        <v>48</v>
      </c>
      <c r="H176" s="2">
        <v>26</v>
      </c>
      <c r="I176" s="2">
        <v>650</v>
      </c>
      <c r="J176" s="2">
        <v>650</v>
      </c>
      <c r="K176" s="2">
        <v>650</v>
      </c>
    </row>
    <row r="177" spans="1:11">
      <c r="A177" s="41"/>
      <c r="B177" s="17">
        <v>46287</v>
      </c>
      <c r="C177" s="2">
        <v>6.8</v>
      </c>
      <c r="D177" s="2">
        <v>10</v>
      </c>
      <c r="E177" s="2">
        <v>35</v>
      </c>
      <c r="F177" s="2">
        <v>11.94</v>
      </c>
      <c r="G177" s="2">
        <v>48</v>
      </c>
      <c r="H177" s="2">
        <v>26</v>
      </c>
      <c r="I177" s="2">
        <v>650</v>
      </c>
      <c r="J177" s="2">
        <v>650</v>
      </c>
      <c r="K177" s="2">
        <v>650</v>
      </c>
    </row>
    <row r="178" spans="1:11">
      <c r="A178" s="41"/>
      <c r="B178" s="17">
        <v>46288</v>
      </c>
      <c r="C178" s="2">
        <v>6.8</v>
      </c>
      <c r="D178" s="2">
        <v>10</v>
      </c>
      <c r="E178" s="2">
        <v>35</v>
      </c>
      <c r="F178" s="2">
        <v>11.94</v>
      </c>
      <c r="G178" s="2">
        <v>48</v>
      </c>
      <c r="H178" s="2">
        <v>26</v>
      </c>
      <c r="I178" s="2">
        <v>650</v>
      </c>
      <c r="J178" s="2">
        <v>650</v>
      </c>
      <c r="K178" s="2">
        <v>650</v>
      </c>
    </row>
    <row r="179" spans="1:11">
      <c r="A179" s="41"/>
      <c r="B179" s="17">
        <v>46289</v>
      </c>
      <c r="C179" s="2">
        <v>6.8</v>
      </c>
      <c r="D179" s="2">
        <v>10</v>
      </c>
      <c r="E179" s="2">
        <v>35</v>
      </c>
      <c r="F179" s="2">
        <v>11.94</v>
      </c>
      <c r="G179" s="2">
        <v>48</v>
      </c>
      <c r="H179" s="2">
        <v>26</v>
      </c>
      <c r="I179" s="2">
        <v>650</v>
      </c>
      <c r="J179" s="2">
        <v>650</v>
      </c>
      <c r="K179" s="2">
        <v>650</v>
      </c>
    </row>
    <row r="180" spans="1:11">
      <c r="A180" s="41"/>
      <c r="B180" s="17">
        <v>46290</v>
      </c>
      <c r="C180" s="2">
        <v>6.8</v>
      </c>
      <c r="D180" s="2">
        <v>10</v>
      </c>
      <c r="E180" s="2">
        <v>35</v>
      </c>
      <c r="F180" s="2">
        <v>11.94</v>
      </c>
      <c r="G180" s="2">
        <v>48</v>
      </c>
      <c r="H180" s="2">
        <v>26</v>
      </c>
      <c r="I180" s="2">
        <v>650</v>
      </c>
      <c r="J180" s="2">
        <v>650</v>
      </c>
      <c r="K180" s="2">
        <v>650</v>
      </c>
    </row>
    <row r="181" spans="1:11">
      <c r="A181" s="41"/>
      <c r="B181" s="17">
        <v>46291</v>
      </c>
      <c r="C181" s="2">
        <v>6.8</v>
      </c>
      <c r="D181" s="2">
        <v>10</v>
      </c>
      <c r="E181" s="2">
        <v>35</v>
      </c>
      <c r="F181" s="2">
        <v>11.94</v>
      </c>
      <c r="G181" s="2">
        <v>48</v>
      </c>
      <c r="H181" s="2">
        <v>26</v>
      </c>
      <c r="I181" s="2">
        <v>650</v>
      </c>
      <c r="J181" s="2">
        <v>650</v>
      </c>
      <c r="K181" s="2">
        <v>650</v>
      </c>
    </row>
    <row r="182" spans="1:11">
      <c r="A182" s="41"/>
      <c r="B182" s="17">
        <v>46292</v>
      </c>
      <c r="C182" s="2">
        <v>6.8</v>
      </c>
      <c r="D182" s="2">
        <v>10</v>
      </c>
      <c r="E182" s="2">
        <v>35</v>
      </c>
      <c r="F182" s="2">
        <v>11.94</v>
      </c>
      <c r="G182" s="2">
        <v>48</v>
      </c>
      <c r="H182" s="2">
        <v>26</v>
      </c>
      <c r="I182" s="2">
        <v>650</v>
      </c>
      <c r="J182" s="2">
        <v>650</v>
      </c>
      <c r="K182" s="2">
        <v>650</v>
      </c>
    </row>
    <row r="183" spans="1:11">
      <c r="A183" s="41"/>
      <c r="B183" s="17">
        <v>46293</v>
      </c>
      <c r="C183" s="2">
        <v>6.8</v>
      </c>
      <c r="D183" s="2">
        <v>10</v>
      </c>
      <c r="E183" s="2">
        <v>35</v>
      </c>
      <c r="F183" s="2">
        <v>11.94</v>
      </c>
      <c r="G183" s="2">
        <v>48</v>
      </c>
      <c r="H183" s="2">
        <v>26</v>
      </c>
      <c r="I183" s="2">
        <v>650</v>
      </c>
      <c r="J183" s="2">
        <v>650</v>
      </c>
      <c r="K183" s="2">
        <v>650</v>
      </c>
    </row>
    <row r="184" spans="1:11">
      <c r="A184" s="41"/>
      <c r="B184" s="17">
        <v>46294</v>
      </c>
      <c r="C184" s="2">
        <v>6.8</v>
      </c>
      <c r="D184" s="2">
        <v>10</v>
      </c>
      <c r="E184" s="2">
        <v>35</v>
      </c>
      <c r="F184" s="2">
        <v>11.94</v>
      </c>
      <c r="G184" s="2">
        <v>48</v>
      </c>
      <c r="H184" s="2">
        <v>26</v>
      </c>
      <c r="I184" s="2">
        <v>650</v>
      </c>
      <c r="J184" s="2">
        <v>650</v>
      </c>
      <c r="K184" s="2">
        <v>650</v>
      </c>
    </row>
    <row r="185" spans="1:11" ht="15.75" thickBot="1">
      <c r="A185" s="42"/>
      <c r="B185" s="17">
        <v>46295</v>
      </c>
      <c r="C185" s="2">
        <v>6.8</v>
      </c>
      <c r="D185" s="2">
        <v>10</v>
      </c>
      <c r="E185" s="2">
        <v>35</v>
      </c>
      <c r="F185" s="2">
        <v>11.94</v>
      </c>
      <c r="G185" s="2">
        <v>48</v>
      </c>
      <c r="H185" s="2">
        <v>26</v>
      </c>
      <c r="I185" s="2">
        <v>650</v>
      </c>
      <c r="J185" s="2">
        <v>650</v>
      </c>
      <c r="K185" s="2">
        <v>650</v>
      </c>
    </row>
    <row r="186" spans="1:11">
      <c r="A186" s="67" t="s">
        <v>14</v>
      </c>
      <c r="B186" s="17">
        <v>46296</v>
      </c>
      <c r="C186">
        <v>8.6999999999999993</v>
      </c>
      <c r="D186">
        <v>6.64</v>
      </c>
      <c r="E186">
        <v>12.22</v>
      </c>
      <c r="F186">
        <v>12.32</v>
      </c>
      <c r="G186">
        <v>19.829999999999998</v>
      </c>
      <c r="H186">
        <v>24.66</v>
      </c>
      <c r="I186">
        <v>666</v>
      </c>
      <c r="J186">
        <v>645</v>
      </c>
      <c r="K186">
        <v>644</v>
      </c>
    </row>
    <row r="187" spans="1:11">
      <c r="A187" s="68"/>
      <c r="B187" s="17">
        <v>46297</v>
      </c>
      <c r="C187" s="16">
        <v>8.6999999999999993</v>
      </c>
      <c r="D187" s="16">
        <v>6.64</v>
      </c>
      <c r="E187" s="16">
        <v>12.22</v>
      </c>
      <c r="F187" s="16">
        <v>12.32</v>
      </c>
      <c r="G187" s="16">
        <v>19.829999999999998</v>
      </c>
      <c r="H187" s="16">
        <v>24.66</v>
      </c>
      <c r="I187" s="16">
        <v>666</v>
      </c>
      <c r="J187" s="16">
        <v>645</v>
      </c>
      <c r="K187" s="16">
        <v>644</v>
      </c>
    </row>
    <row r="188" spans="1:11">
      <c r="A188" s="68"/>
      <c r="B188" s="17">
        <v>46298</v>
      </c>
      <c r="C188" s="16">
        <v>8.6999999999999993</v>
      </c>
      <c r="D188" s="16">
        <v>6.64</v>
      </c>
      <c r="E188" s="16">
        <v>12.22</v>
      </c>
      <c r="F188" s="16">
        <v>12.32</v>
      </c>
      <c r="G188" s="16">
        <v>19.829999999999998</v>
      </c>
      <c r="H188" s="16">
        <v>24.66</v>
      </c>
      <c r="I188" s="16">
        <v>666</v>
      </c>
      <c r="J188" s="16">
        <v>645</v>
      </c>
      <c r="K188" s="16">
        <v>644</v>
      </c>
    </row>
    <row r="189" spans="1:11">
      <c r="A189" s="68"/>
      <c r="B189" s="17">
        <v>46299</v>
      </c>
      <c r="C189" s="16">
        <v>8.6999999999999993</v>
      </c>
      <c r="D189" s="16">
        <v>6.64</v>
      </c>
      <c r="E189" s="16">
        <v>12.22</v>
      </c>
      <c r="F189" s="16">
        <v>12.32</v>
      </c>
      <c r="G189" s="16">
        <v>19.829999999999998</v>
      </c>
      <c r="H189" s="16">
        <v>24.66</v>
      </c>
      <c r="I189" s="16">
        <v>666</v>
      </c>
      <c r="J189" s="16">
        <v>645</v>
      </c>
      <c r="K189" s="16">
        <v>644</v>
      </c>
    </row>
    <row r="190" spans="1:11">
      <c r="A190" s="68"/>
      <c r="B190" s="17">
        <v>46300</v>
      </c>
      <c r="C190" s="16">
        <v>8.6999999999999993</v>
      </c>
      <c r="D190" s="16">
        <v>6.64</v>
      </c>
      <c r="E190" s="16">
        <v>12.22</v>
      </c>
      <c r="F190" s="16">
        <v>12.32</v>
      </c>
      <c r="G190" s="16">
        <v>19.829999999999998</v>
      </c>
      <c r="H190" s="16">
        <v>24.66</v>
      </c>
      <c r="I190" s="16">
        <v>666</v>
      </c>
      <c r="J190" s="16">
        <v>645</v>
      </c>
      <c r="K190" s="16">
        <v>644</v>
      </c>
    </row>
    <row r="191" spans="1:11">
      <c r="A191" s="68"/>
      <c r="B191" s="17">
        <v>46301</v>
      </c>
      <c r="C191" s="16">
        <v>8.6999999999999993</v>
      </c>
      <c r="D191" s="16">
        <v>6.64</v>
      </c>
      <c r="E191" s="16">
        <v>12.22</v>
      </c>
      <c r="F191" s="16">
        <v>12.32</v>
      </c>
      <c r="G191" s="16">
        <v>19.829999999999998</v>
      </c>
      <c r="H191" s="16">
        <v>24.66</v>
      </c>
      <c r="I191" s="16">
        <v>666</v>
      </c>
      <c r="J191" s="16">
        <v>645</v>
      </c>
      <c r="K191" s="16">
        <v>644</v>
      </c>
    </row>
    <row r="192" spans="1:11">
      <c r="A192" s="68"/>
      <c r="B192" s="17">
        <v>46302</v>
      </c>
      <c r="C192" s="16">
        <v>8.6999999999999993</v>
      </c>
      <c r="D192" s="16">
        <v>6.64</v>
      </c>
      <c r="E192" s="16">
        <v>12.22</v>
      </c>
      <c r="F192" s="16">
        <v>12.32</v>
      </c>
      <c r="G192" s="16">
        <v>19.829999999999998</v>
      </c>
      <c r="H192" s="16">
        <v>24.66</v>
      </c>
      <c r="I192" s="16">
        <v>666</v>
      </c>
      <c r="J192" s="16">
        <v>645</v>
      </c>
      <c r="K192" s="16">
        <v>644</v>
      </c>
    </row>
    <row r="193" spans="1:11">
      <c r="A193" s="68"/>
      <c r="B193" s="17">
        <v>46303</v>
      </c>
      <c r="C193" s="16">
        <v>8.6999999999999993</v>
      </c>
      <c r="D193" s="16">
        <v>6.64</v>
      </c>
      <c r="E193" s="16">
        <v>12.22</v>
      </c>
      <c r="F193" s="16">
        <v>12.32</v>
      </c>
      <c r="G193" s="16">
        <v>19.829999999999998</v>
      </c>
      <c r="H193" s="16">
        <v>24.66</v>
      </c>
      <c r="I193" s="16">
        <v>666</v>
      </c>
      <c r="J193" s="16">
        <v>645</v>
      </c>
      <c r="K193" s="16">
        <v>644</v>
      </c>
    </row>
    <row r="194" spans="1:11">
      <c r="A194" s="68"/>
      <c r="B194" s="17">
        <v>46304</v>
      </c>
      <c r="C194" s="16">
        <v>8.6999999999999993</v>
      </c>
      <c r="D194" s="16">
        <v>6.64</v>
      </c>
      <c r="E194" s="16">
        <v>12.22</v>
      </c>
      <c r="F194" s="16">
        <v>12.32</v>
      </c>
      <c r="G194" s="16">
        <v>19.829999999999998</v>
      </c>
      <c r="H194" s="16">
        <v>24.66</v>
      </c>
      <c r="I194" s="16">
        <v>666</v>
      </c>
      <c r="J194" s="16">
        <v>645</v>
      </c>
      <c r="K194" s="16">
        <v>644</v>
      </c>
    </row>
    <row r="195" spans="1:11">
      <c r="A195" s="68"/>
      <c r="B195" s="17">
        <v>46305</v>
      </c>
      <c r="C195" s="16">
        <v>8.6999999999999993</v>
      </c>
      <c r="D195" s="16">
        <v>6.64</v>
      </c>
      <c r="E195" s="16">
        <v>12.22</v>
      </c>
      <c r="F195" s="16">
        <v>12.32</v>
      </c>
      <c r="G195" s="16">
        <v>19.829999999999998</v>
      </c>
      <c r="H195" s="16">
        <v>24.66</v>
      </c>
      <c r="I195" s="16">
        <v>666</v>
      </c>
      <c r="J195" s="16">
        <v>645</v>
      </c>
      <c r="K195" s="16">
        <v>644</v>
      </c>
    </row>
    <row r="196" spans="1:11">
      <c r="A196" s="68"/>
      <c r="B196" s="17">
        <v>46306</v>
      </c>
      <c r="C196" s="16">
        <v>8.6999999999999993</v>
      </c>
      <c r="D196" s="16">
        <v>6.64</v>
      </c>
      <c r="E196" s="16">
        <v>12.22</v>
      </c>
      <c r="F196" s="16">
        <v>12.32</v>
      </c>
      <c r="G196" s="16">
        <v>19.829999999999998</v>
      </c>
      <c r="H196" s="16">
        <v>24.66</v>
      </c>
      <c r="I196" s="16">
        <v>666</v>
      </c>
      <c r="J196" s="16">
        <v>645</v>
      </c>
      <c r="K196" s="16">
        <v>644</v>
      </c>
    </row>
    <row r="197" spans="1:11">
      <c r="A197" s="68"/>
      <c r="B197" s="17">
        <v>46307</v>
      </c>
    </row>
    <row r="198" spans="1:11">
      <c r="A198" s="68"/>
      <c r="B198" s="17">
        <v>46308</v>
      </c>
    </row>
    <row r="199" spans="1:11">
      <c r="A199" s="68"/>
      <c r="B199" s="17">
        <v>46309</v>
      </c>
    </row>
    <row r="200" spans="1:11">
      <c r="A200" s="68"/>
      <c r="B200" s="17">
        <v>46310</v>
      </c>
    </row>
    <row r="201" spans="1:11">
      <c r="A201" s="68"/>
      <c r="B201" s="17">
        <v>46311</v>
      </c>
    </row>
    <row r="202" spans="1:11">
      <c r="A202" s="68"/>
      <c r="B202" s="17">
        <v>46312</v>
      </c>
    </row>
    <row r="203" spans="1:11">
      <c r="A203" s="68"/>
      <c r="B203" s="17">
        <v>46313</v>
      </c>
    </row>
    <row r="204" spans="1:11">
      <c r="A204" s="68"/>
      <c r="B204" s="17">
        <v>46314</v>
      </c>
    </row>
    <row r="205" spans="1:11">
      <c r="A205" s="68"/>
      <c r="B205" s="17">
        <v>46315</v>
      </c>
    </row>
    <row r="206" spans="1:11">
      <c r="A206" s="68"/>
      <c r="B206" s="17">
        <v>46316</v>
      </c>
    </row>
    <row r="207" spans="1:11">
      <c r="A207" s="68"/>
      <c r="B207" s="17">
        <v>46317</v>
      </c>
    </row>
    <row r="208" spans="1:11">
      <c r="A208" s="68"/>
      <c r="B208" s="17">
        <v>46318</v>
      </c>
    </row>
    <row r="209" spans="1:2">
      <c r="A209" s="68"/>
      <c r="B209" s="17">
        <v>46319</v>
      </c>
    </row>
    <row r="210" spans="1:2">
      <c r="A210" s="68"/>
      <c r="B210" s="17">
        <v>46320</v>
      </c>
    </row>
    <row r="211" spans="1:2">
      <c r="A211" s="68"/>
      <c r="B211" s="17">
        <v>46321</v>
      </c>
    </row>
    <row r="212" spans="1:2">
      <c r="A212" s="68"/>
      <c r="B212" s="17">
        <v>46322</v>
      </c>
    </row>
    <row r="213" spans="1:2">
      <c r="A213" s="68"/>
      <c r="B213" s="17">
        <v>46323</v>
      </c>
    </row>
    <row r="214" spans="1:2">
      <c r="A214" s="68"/>
      <c r="B214" s="17">
        <v>46324</v>
      </c>
    </row>
    <row r="215" spans="1:2">
      <c r="A215" s="68"/>
      <c r="B215" s="17">
        <v>46325</v>
      </c>
    </row>
    <row r="216" spans="1:2">
      <c r="A216" s="68"/>
      <c r="B216" s="17">
        <v>46326</v>
      </c>
    </row>
    <row r="217" spans="1:2">
      <c r="A217" s="2" t="s">
        <v>15</v>
      </c>
      <c r="B217" s="17">
        <v>46327</v>
      </c>
    </row>
    <row r="218" spans="1:2">
      <c r="A218" s="2"/>
      <c r="B218" s="17">
        <v>46328</v>
      </c>
    </row>
    <row r="219" spans="1:2">
      <c r="A219" s="2"/>
      <c r="B219" s="17">
        <v>46329</v>
      </c>
    </row>
    <row r="220" spans="1:2">
      <c r="A220" s="2"/>
      <c r="B220" s="17">
        <v>46330</v>
      </c>
    </row>
    <row r="221" spans="1:2">
      <c r="A221" s="2"/>
      <c r="B221" s="17">
        <v>46331</v>
      </c>
    </row>
    <row r="222" spans="1:2">
      <c r="A222" s="2"/>
      <c r="B222" s="17">
        <v>46332</v>
      </c>
    </row>
    <row r="223" spans="1:2">
      <c r="A223" s="2"/>
      <c r="B223" s="17">
        <v>46333</v>
      </c>
    </row>
    <row r="224" spans="1:2">
      <c r="A224" s="2"/>
      <c r="B224" s="17">
        <v>46334</v>
      </c>
    </row>
    <row r="225" spans="1:2">
      <c r="A225" s="2"/>
      <c r="B225" s="17">
        <v>46335</v>
      </c>
    </row>
    <row r="226" spans="1:2">
      <c r="A226" s="2"/>
      <c r="B226" s="17">
        <v>46336</v>
      </c>
    </row>
    <row r="227" spans="1:2">
      <c r="A227" s="2"/>
      <c r="B227" s="17">
        <v>46337</v>
      </c>
    </row>
    <row r="228" spans="1:2">
      <c r="A228" s="2"/>
      <c r="B228" s="17">
        <v>46338</v>
      </c>
    </row>
    <row r="229" spans="1:2">
      <c r="A229" s="2"/>
      <c r="B229" s="17">
        <v>46339</v>
      </c>
    </row>
    <row r="230" spans="1:2">
      <c r="A230" s="2"/>
      <c r="B230" s="17">
        <v>46340</v>
      </c>
    </row>
    <row r="231" spans="1:2">
      <c r="A231" s="2"/>
      <c r="B231" s="17">
        <v>46341</v>
      </c>
    </row>
    <row r="232" spans="1:2">
      <c r="A232" s="2"/>
      <c r="B232" s="17">
        <v>46342</v>
      </c>
    </row>
    <row r="233" spans="1:2">
      <c r="A233" s="2"/>
      <c r="B233" s="17">
        <v>46343</v>
      </c>
    </row>
    <row r="234" spans="1:2">
      <c r="A234" s="2"/>
      <c r="B234" s="17">
        <v>46344</v>
      </c>
    </row>
    <row r="235" spans="1:2">
      <c r="A235" s="2"/>
      <c r="B235" s="17">
        <v>46345</v>
      </c>
    </row>
    <row r="236" spans="1:2">
      <c r="A236" s="2"/>
      <c r="B236" s="17">
        <v>46346</v>
      </c>
    </row>
    <row r="237" spans="1:2">
      <c r="A237" s="2"/>
      <c r="B237" s="17">
        <v>46347</v>
      </c>
    </row>
    <row r="238" spans="1:2">
      <c r="A238" s="2"/>
      <c r="B238" s="17">
        <v>46348</v>
      </c>
    </row>
    <row r="239" spans="1:2">
      <c r="A239" s="2"/>
      <c r="B239" s="17">
        <v>46349</v>
      </c>
    </row>
    <row r="240" spans="1:2">
      <c r="A240" s="2"/>
      <c r="B240" s="17">
        <v>46350</v>
      </c>
    </row>
    <row r="241" spans="1:2">
      <c r="A241" s="2"/>
      <c r="B241" s="17">
        <v>46351</v>
      </c>
    </row>
    <row r="242" spans="1:2">
      <c r="A242" s="2"/>
      <c r="B242" s="17">
        <v>46352</v>
      </c>
    </row>
    <row r="243" spans="1:2">
      <c r="A243" s="2"/>
      <c r="B243" s="17">
        <v>46353</v>
      </c>
    </row>
    <row r="244" spans="1:2">
      <c r="A244" s="2"/>
      <c r="B244" s="17">
        <v>46354</v>
      </c>
    </row>
    <row r="245" spans="1:2">
      <c r="A245" s="2"/>
      <c r="B245" s="17">
        <v>46355</v>
      </c>
    </row>
    <row r="246" spans="1:2">
      <c r="A246" s="2"/>
      <c r="B246" s="17">
        <v>46356</v>
      </c>
    </row>
    <row r="247" spans="1:2">
      <c r="A247" s="2" t="s">
        <v>16</v>
      </c>
      <c r="B247" s="17">
        <v>46357</v>
      </c>
    </row>
    <row r="248" spans="1:2">
      <c r="A248" s="2"/>
      <c r="B248" s="17">
        <v>46358</v>
      </c>
    </row>
    <row r="249" spans="1:2">
      <c r="A249" s="2"/>
      <c r="B249" s="17">
        <v>46359</v>
      </c>
    </row>
    <row r="250" spans="1:2">
      <c r="A250" s="2"/>
      <c r="B250" s="17">
        <v>46360</v>
      </c>
    </row>
    <row r="251" spans="1:2">
      <c r="A251" s="2"/>
      <c r="B251" s="17">
        <v>46361</v>
      </c>
    </row>
    <row r="252" spans="1:2">
      <c r="A252" s="2"/>
      <c r="B252" s="17">
        <v>46362</v>
      </c>
    </row>
    <row r="253" spans="1:2">
      <c r="A253" s="2"/>
      <c r="B253" s="17">
        <v>46363</v>
      </c>
    </row>
    <row r="254" spans="1:2">
      <c r="A254" s="2"/>
      <c r="B254" s="17">
        <v>46364</v>
      </c>
    </row>
    <row r="255" spans="1:2">
      <c r="A255" s="2"/>
      <c r="B255" s="17">
        <v>46365</v>
      </c>
    </row>
    <row r="256" spans="1:2">
      <c r="A256" s="2"/>
      <c r="B256" s="17">
        <v>46366</v>
      </c>
    </row>
    <row r="257" spans="1:11" ht="18" customHeight="1">
      <c r="A257" s="23"/>
      <c r="B257" s="24">
        <v>46367</v>
      </c>
      <c r="C257" s="23"/>
      <c r="D257" s="23"/>
      <c r="E257" s="23"/>
      <c r="F257" s="23"/>
      <c r="G257" s="23"/>
      <c r="H257" s="23"/>
      <c r="I257" s="23"/>
      <c r="J257" s="23"/>
      <c r="K257" s="23"/>
    </row>
    <row r="258" spans="1:11" ht="18" customHeight="1">
      <c r="A258" s="23"/>
      <c r="B258" s="24">
        <v>46368</v>
      </c>
      <c r="C258" s="23"/>
      <c r="D258" s="23"/>
      <c r="E258" s="23"/>
      <c r="F258" s="23"/>
      <c r="G258" s="23"/>
      <c r="H258" s="23"/>
      <c r="I258" s="23"/>
      <c r="J258" s="23"/>
      <c r="K258" s="23"/>
    </row>
    <row r="259" spans="1:11" ht="18" customHeight="1">
      <c r="A259" s="23"/>
      <c r="B259" s="24">
        <v>46369</v>
      </c>
      <c r="C259" s="23"/>
      <c r="D259" s="23"/>
      <c r="E259" s="23"/>
      <c r="F259" s="23"/>
      <c r="G259" s="23"/>
      <c r="H259" s="23"/>
      <c r="I259" s="23"/>
      <c r="J259" s="23"/>
      <c r="K259" s="23"/>
    </row>
    <row r="260" spans="1:11" ht="18" customHeight="1">
      <c r="A260" s="23"/>
      <c r="B260" s="24">
        <v>46370</v>
      </c>
      <c r="C260" s="23"/>
      <c r="D260" s="23"/>
      <c r="E260" s="23"/>
      <c r="F260" s="23"/>
      <c r="G260" s="23"/>
      <c r="H260" s="23"/>
      <c r="I260" s="23"/>
      <c r="J260" s="23"/>
      <c r="K260" s="23"/>
    </row>
    <row r="261" spans="1:11" ht="18" customHeight="1">
      <c r="A261" s="23"/>
      <c r="B261" s="24">
        <v>46371</v>
      </c>
      <c r="C261" s="23"/>
      <c r="D261" s="23"/>
      <c r="E261" s="23"/>
      <c r="F261" s="23"/>
      <c r="G261" s="23"/>
      <c r="H261" s="23"/>
      <c r="I261" s="23"/>
      <c r="J261" s="23"/>
      <c r="K261" s="23"/>
    </row>
    <row r="262" spans="1:11" ht="18" customHeight="1">
      <c r="A262" s="23"/>
      <c r="B262" s="24">
        <v>46372</v>
      </c>
      <c r="C262" s="23"/>
      <c r="D262" s="23"/>
      <c r="E262" s="23"/>
      <c r="F262" s="23"/>
      <c r="G262" s="23"/>
      <c r="H262" s="23"/>
      <c r="I262" s="23"/>
      <c r="J262" s="23"/>
      <c r="K262" s="23"/>
    </row>
    <row r="263" spans="1:11" ht="18" customHeight="1">
      <c r="A263" s="23"/>
      <c r="B263" s="24">
        <v>46373</v>
      </c>
      <c r="C263" s="23"/>
      <c r="D263" s="23"/>
      <c r="E263" s="23"/>
      <c r="F263" s="23"/>
      <c r="G263" s="23"/>
      <c r="H263" s="23"/>
      <c r="I263" s="23"/>
      <c r="J263" s="23"/>
      <c r="K263" s="23"/>
    </row>
    <row r="264" spans="1:11" ht="18" customHeight="1">
      <c r="A264" s="23"/>
      <c r="B264" s="24">
        <v>46374</v>
      </c>
      <c r="C264" s="23"/>
      <c r="D264" s="23"/>
      <c r="E264" s="23"/>
      <c r="F264" s="23"/>
      <c r="G264" s="23"/>
      <c r="H264" s="23"/>
      <c r="I264" s="23"/>
      <c r="J264" s="23"/>
      <c r="K264" s="23"/>
    </row>
    <row r="265" spans="1:11" ht="18" customHeight="1">
      <c r="A265" s="23"/>
      <c r="B265" s="24">
        <v>46375</v>
      </c>
      <c r="C265" s="23"/>
      <c r="D265" s="23"/>
      <c r="E265" s="23"/>
      <c r="F265" s="23"/>
      <c r="G265" s="23"/>
      <c r="H265" s="23"/>
      <c r="I265" s="23"/>
      <c r="J265" s="23"/>
      <c r="K265" s="23"/>
    </row>
    <row r="266" spans="1:11" ht="18" customHeight="1">
      <c r="A266" s="23"/>
      <c r="B266" s="24">
        <v>46376</v>
      </c>
      <c r="C266" s="23"/>
      <c r="D266" s="23"/>
      <c r="E266" s="23"/>
      <c r="F266" s="23"/>
      <c r="G266" s="23"/>
      <c r="H266" s="23"/>
      <c r="I266" s="23"/>
      <c r="J266" s="23"/>
      <c r="K266" s="23"/>
    </row>
    <row r="267" spans="1:11" ht="18" customHeight="1">
      <c r="A267" s="23"/>
      <c r="B267" s="24">
        <v>46377</v>
      </c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ht="18" customHeight="1">
      <c r="A268" s="23"/>
      <c r="B268" s="24">
        <v>46378</v>
      </c>
      <c r="C268" s="23"/>
      <c r="D268" s="23"/>
      <c r="E268" s="23"/>
      <c r="F268" s="23"/>
      <c r="G268" s="23"/>
      <c r="H268" s="23"/>
      <c r="I268" s="23"/>
      <c r="J268" s="23"/>
      <c r="K268" s="23"/>
    </row>
    <row r="269" spans="1:11" ht="18" customHeight="1">
      <c r="A269" s="23"/>
      <c r="B269" s="24">
        <v>46379</v>
      </c>
      <c r="C269" s="23"/>
      <c r="D269" s="23"/>
      <c r="E269" s="23"/>
      <c r="F269" s="23"/>
      <c r="G269" s="23"/>
      <c r="H269" s="23"/>
      <c r="I269" s="23"/>
      <c r="J269" s="23"/>
      <c r="K269" s="23"/>
    </row>
    <row r="270" spans="1:11" ht="18" customHeight="1">
      <c r="A270" s="23"/>
      <c r="B270" s="24">
        <v>46380</v>
      </c>
      <c r="C270" s="23"/>
      <c r="D270" s="23"/>
      <c r="E270" s="23"/>
      <c r="F270" s="23"/>
      <c r="G270" s="23"/>
      <c r="H270" s="23"/>
      <c r="I270" s="23"/>
      <c r="J270" s="23"/>
      <c r="K270" s="23"/>
    </row>
    <row r="271" spans="1:11" ht="18" customHeight="1">
      <c r="A271" s="23"/>
      <c r="B271" s="24">
        <v>46381</v>
      </c>
      <c r="C271" s="23"/>
      <c r="D271" s="23"/>
      <c r="E271" s="23"/>
      <c r="F271" s="23"/>
      <c r="G271" s="23"/>
      <c r="H271" s="23"/>
      <c r="I271" s="23"/>
      <c r="J271" s="23"/>
      <c r="K271" s="23"/>
    </row>
    <row r="272" spans="1:11" ht="18" customHeight="1">
      <c r="A272" s="23"/>
      <c r="B272" s="24">
        <v>46382</v>
      </c>
      <c r="C272" s="23"/>
      <c r="D272" s="23"/>
      <c r="E272" s="23"/>
      <c r="F272" s="23"/>
      <c r="G272" s="23"/>
      <c r="H272" s="23"/>
      <c r="I272" s="23"/>
      <c r="J272" s="23"/>
      <c r="K272" s="23"/>
    </row>
    <row r="273" spans="1:11" ht="18" customHeight="1">
      <c r="A273" s="23"/>
      <c r="B273" s="24">
        <v>46383</v>
      </c>
      <c r="C273" s="23"/>
      <c r="D273" s="23"/>
      <c r="E273" s="23"/>
      <c r="F273" s="23"/>
      <c r="G273" s="23"/>
      <c r="H273" s="23"/>
      <c r="I273" s="23"/>
      <c r="J273" s="23"/>
      <c r="K273" s="23"/>
    </row>
    <row r="274" spans="1:11" ht="18" customHeight="1">
      <c r="A274" s="23"/>
      <c r="B274" s="24">
        <v>46384</v>
      </c>
      <c r="C274" s="23"/>
      <c r="D274" s="23"/>
      <c r="E274" s="23"/>
      <c r="F274" s="23"/>
      <c r="G274" s="23"/>
      <c r="H274" s="23"/>
      <c r="I274" s="23"/>
      <c r="J274" s="23"/>
      <c r="K274" s="23"/>
    </row>
    <row r="275" spans="1:11" ht="18" customHeight="1">
      <c r="A275" s="23"/>
      <c r="B275" s="24">
        <v>46385</v>
      </c>
      <c r="C275" s="23"/>
      <c r="D275" s="23"/>
      <c r="E275" s="23"/>
      <c r="F275" s="23"/>
      <c r="G275" s="23"/>
      <c r="H275" s="23"/>
      <c r="I275" s="23"/>
      <c r="J275" s="23"/>
      <c r="K275" s="23"/>
    </row>
    <row r="276" spans="1:11" ht="18" customHeight="1">
      <c r="A276" s="23"/>
      <c r="B276" s="24">
        <v>46386</v>
      </c>
      <c r="C276" s="23"/>
      <c r="D276" s="23"/>
      <c r="E276" s="23"/>
      <c r="F276" s="23"/>
      <c r="G276" s="23"/>
      <c r="H276" s="23"/>
      <c r="I276" s="23"/>
      <c r="J276" s="23"/>
      <c r="K276" s="23"/>
    </row>
    <row r="277" spans="1:11" ht="18" customHeight="1">
      <c r="A277" s="23"/>
      <c r="B277" s="24">
        <v>46387</v>
      </c>
      <c r="C277" s="23"/>
      <c r="D277" s="23"/>
      <c r="E277" s="23"/>
      <c r="F277" s="23"/>
      <c r="G277" s="23"/>
      <c r="H277" s="23"/>
      <c r="I277" s="23"/>
      <c r="J277" s="23"/>
      <c r="K277" s="23"/>
    </row>
    <row r="278" spans="1:11" ht="18" customHeight="1">
      <c r="A278" s="23" t="s">
        <v>17</v>
      </c>
      <c r="B278" s="24">
        <v>46388</v>
      </c>
      <c r="C278" s="23"/>
      <c r="D278" s="23"/>
      <c r="E278" s="23"/>
      <c r="F278" s="23"/>
      <c r="G278" s="23"/>
      <c r="H278" s="23"/>
      <c r="I278" s="23"/>
      <c r="J278" s="23"/>
      <c r="K278" s="23"/>
    </row>
    <row r="279" spans="1:11" ht="18" customHeight="1">
      <c r="A279" s="23"/>
      <c r="B279" s="24">
        <v>46389</v>
      </c>
      <c r="C279" s="23"/>
      <c r="D279" s="23"/>
      <c r="E279" s="23"/>
      <c r="F279" s="23"/>
      <c r="G279" s="23"/>
      <c r="H279" s="23"/>
      <c r="I279" s="23"/>
      <c r="J279" s="23"/>
      <c r="K279" s="23"/>
    </row>
    <row r="280" spans="1:11" ht="18" customHeight="1">
      <c r="A280" s="23"/>
      <c r="B280" s="24">
        <v>46390</v>
      </c>
      <c r="C280" s="23"/>
      <c r="D280" s="23"/>
      <c r="E280" s="23"/>
      <c r="F280" s="23"/>
      <c r="G280" s="23"/>
      <c r="H280" s="23"/>
      <c r="I280" s="23"/>
      <c r="J280" s="23"/>
      <c r="K280" s="23"/>
    </row>
    <row r="281" spans="1:11" ht="18" customHeight="1">
      <c r="A281" s="23"/>
      <c r="B281" s="24">
        <v>46391</v>
      </c>
      <c r="C281" s="23"/>
      <c r="D281" s="23"/>
      <c r="E281" s="23"/>
      <c r="F281" s="23"/>
      <c r="G281" s="23"/>
      <c r="H281" s="23"/>
      <c r="I281" s="23"/>
      <c r="J281" s="23"/>
      <c r="K281" s="23"/>
    </row>
    <row r="282" spans="1:11" ht="18" customHeight="1">
      <c r="A282" s="23"/>
      <c r="B282" s="24">
        <v>46392</v>
      </c>
      <c r="C282" s="23"/>
      <c r="D282" s="23"/>
      <c r="E282" s="23"/>
      <c r="F282" s="23"/>
      <c r="G282" s="23"/>
      <c r="H282" s="23"/>
      <c r="I282" s="23"/>
      <c r="J282" s="23"/>
      <c r="K282" s="23"/>
    </row>
    <row r="283" spans="1:11" ht="18" customHeight="1">
      <c r="A283" s="23"/>
      <c r="B283" s="24">
        <v>46393</v>
      </c>
      <c r="C283" s="23"/>
      <c r="D283" s="23"/>
      <c r="E283" s="23"/>
      <c r="F283" s="23"/>
      <c r="G283" s="23"/>
      <c r="H283" s="23"/>
      <c r="I283" s="23"/>
      <c r="J283" s="23"/>
      <c r="K283" s="23"/>
    </row>
    <row r="284" spans="1:11" ht="18" customHeight="1">
      <c r="A284" s="23"/>
      <c r="B284" s="24">
        <v>46394</v>
      </c>
      <c r="C284" s="23"/>
      <c r="D284" s="23"/>
      <c r="E284" s="23"/>
      <c r="F284" s="23"/>
      <c r="G284" s="23"/>
      <c r="H284" s="23"/>
      <c r="I284" s="23"/>
      <c r="J284" s="23"/>
      <c r="K284" s="23"/>
    </row>
    <row r="285" spans="1:11" ht="18" customHeight="1">
      <c r="A285" s="23"/>
      <c r="B285" s="24">
        <v>46395</v>
      </c>
      <c r="C285" s="23"/>
      <c r="D285" s="23"/>
      <c r="E285" s="23"/>
      <c r="F285" s="23"/>
      <c r="G285" s="23"/>
      <c r="H285" s="23"/>
      <c r="I285" s="23"/>
      <c r="J285" s="23"/>
      <c r="K285" s="23"/>
    </row>
    <row r="286" spans="1:11" ht="18" customHeight="1">
      <c r="A286" s="23"/>
      <c r="B286" s="24">
        <v>46396</v>
      </c>
      <c r="C286" s="23"/>
      <c r="D286" s="23"/>
      <c r="E286" s="23"/>
      <c r="F286" s="23"/>
      <c r="G286" s="23"/>
      <c r="H286" s="23"/>
      <c r="I286" s="23"/>
      <c r="J286" s="23"/>
      <c r="K286" s="23"/>
    </row>
    <row r="287" spans="1:11" ht="18" customHeight="1">
      <c r="A287" s="23"/>
      <c r="B287" s="24">
        <v>46397</v>
      </c>
      <c r="C287" s="23"/>
      <c r="D287" s="23"/>
      <c r="E287" s="23"/>
      <c r="F287" s="23"/>
      <c r="G287" s="23"/>
      <c r="H287" s="23"/>
      <c r="I287" s="23"/>
      <c r="J287" s="23"/>
      <c r="K287" s="23"/>
    </row>
    <row r="288" spans="1:11" ht="18" customHeight="1">
      <c r="A288" s="23"/>
      <c r="B288" s="24">
        <v>46398</v>
      </c>
      <c r="C288" s="23"/>
      <c r="D288" s="23"/>
      <c r="E288" s="23"/>
      <c r="F288" s="23"/>
      <c r="G288" s="23"/>
      <c r="H288" s="23"/>
      <c r="I288" s="23"/>
      <c r="J288" s="23"/>
      <c r="K288" s="23"/>
    </row>
    <row r="289" spans="1:11" ht="18" customHeight="1">
      <c r="A289" s="23"/>
      <c r="B289" s="24">
        <v>46399</v>
      </c>
      <c r="C289" s="23"/>
      <c r="D289" s="23"/>
      <c r="E289" s="23"/>
      <c r="F289" s="23"/>
      <c r="G289" s="23"/>
      <c r="H289" s="23"/>
      <c r="I289" s="23"/>
      <c r="J289" s="23"/>
      <c r="K289" s="23"/>
    </row>
    <row r="290" spans="1:11" ht="18" customHeight="1">
      <c r="A290" s="23"/>
      <c r="B290" s="24">
        <v>46400</v>
      </c>
      <c r="C290" s="23"/>
      <c r="D290" s="23"/>
      <c r="E290" s="23"/>
      <c r="F290" s="23"/>
      <c r="G290" s="23"/>
      <c r="H290" s="23"/>
      <c r="I290" s="23"/>
      <c r="J290" s="23"/>
      <c r="K290" s="23"/>
    </row>
    <row r="291" spans="1:11" ht="18" customHeight="1">
      <c r="A291" s="23"/>
      <c r="B291" s="24">
        <v>46401</v>
      </c>
      <c r="C291" s="23"/>
      <c r="D291" s="23"/>
      <c r="E291" s="23"/>
      <c r="F291" s="23"/>
      <c r="G291" s="23"/>
      <c r="H291" s="23"/>
      <c r="I291" s="23"/>
      <c r="J291" s="23"/>
      <c r="K291" s="23"/>
    </row>
    <row r="292" spans="1:11" ht="18" customHeight="1">
      <c r="A292" s="23"/>
      <c r="B292" s="24">
        <v>46402</v>
      </c>
      <c r="C292" s="23"/>
      <c r="D292" s="23"/>
      <c r="E292" s="23"/>
      <c r="F292" s="23"/>
      <c r="G292" s="23"/>
      <c r="H292" s="23"/>
      <c r="I292" s="23"/>
      <c r="J292" s="23"/>
      <c r="K292" s="23"/>
    </row>
    <row r="293" spans="1:11" ht="18" customHeight="1">
      <c r="A293" s="23"/>
      <c r="B293" s="24">
        <v>46403</v>
      </c>
      <c r="C293" s="23"/>
      <c r="D293" s="23"/>
      <c r="E293" s="23"/>
      <c r="F293" s="23"/>
      <c r="G293" s="23"/>
      <c r="H293" s="23"/>
      <c r="I293" s="23"/>
      <c r="J293" s="23"/>
      <c r="K293" s="23"/>
    </row>
    <row r="294" spans="1:11" ht="18" customHeight="1">
      <c r="A294" s="23"/>
      <c r="B294" s="24">
        <v>46404</v>
      </c>
      <c r="C294" s="23"/>
      <c r="D294" s="23"/>
      <c r="E294" s="23"/>
      <c r="F294" s="23"/>
      <c r="G294" s="23"/>
      <c r="H294" s="23"/>
      <c r="I294" s="23"/>
      <c r="J294" s="23"/>
      <c r="K294" s="23"/>
    </row>
    <row r="295" spans="1:11" ht="18" customHeight="1">
      <c r="A295" s="23"/>
      <c r="B295" s="24">
        <v>46405</v>
      </c>
      <c r="C295" s="23"/>
      <c r="D295" s="23"/>
      <c r="E295" s="23"/>
      <c r="F295" s="23"/>
      <c r="G295" s="23"/>
      <c r="H295" s="23"/>
      <c r="I295" s="23"/>
      <c r="J295" s="23"/>
      <c r="K295" s="23"/>
    </row>
    <row r="296" spans="1:11" ht="18" customHeight="1">
      <c r="A296" s="23"/>
      <c r="B296" s="24">
        <v>46406</v>
      </c>
      <c r="C296" s="23"/>
      <c r="D296" s="23"/>
      <c r="E296" s="23"/>
      <c r="F296" s="23"/>
      <c r="G296" s="23"/>
      <c r="H296" s="23"/>
      <c r="I296" s="23"/>
      <c r="J296" s="23"/>
      <c r="K296" s="23"/>
    </row>
    <row r="297" spans="1:11" ht="18" customHeight="1">
      <c r="A297" s="23"/>
      <c r="B297" s="24">
        <v>46407</v>
      </c>
      <c r="C297" s="23"/>
      <c r="D297" s="23"/>
      <c r="E297" s="23"/>
      <c r="F297" s="23"/>
      <c r="G297" s="23"/>
      <c r="H297" s="23"/>
      <c r="I297" s="23"/>
      <c r="J297" s="23"/>
      <c r="K297" s="23"/>
    </row>
    <row r="298" spans="1:11" ht="18" customHeight="1">
      <c r="A298" s="23"/>
      <c r="B298" s="24">
        <v>46408</v>
      </c>
      <c r="C298" s="23"/>
      <c r="D298" s="23"/>
      <c r="E298" s="23"/>
      <c r="F298" s="23"/>
      <c r="G298" s="23"/>
      <c r="H298" s="23"/>
      <c r="I298" s="23"/>
      <c r="J298" s="23"/>
      <c r="K298" s="23"/>
    </row>
    <row r="299" spans="1:11" ht="18" customHeight="1">
      <c r="A299" s="23"/>
      <c r="B299" s="24">
        <v>46409</v>
      </c>
      <c r="C299" s="23"/>
      <c r="D299" s="23"/>
      <c r="E299" s="23"/>
      <c r="F299" s="23"/>
      <c r="G299" s="23"/>
      <c r="H299" s="23"/>
      <c r="I299" s="23"/>
      <c r="J299" s="23"/>
      <c r="K299" s="23"/>
    </row>
    <row r="300" spans="1:11" ht="18" customHeight="1">
      <c r="A300" s="23"/>
      <c r="B300" s="24">
        <v>46410</v>
      </c>
      <c r="C300" s="23"/>
      <c r="D300" s="23"/>
      <c r="E300" s="23"/>
      <c r="F300" s="23"/>
      <c r="G300" s="23"/>
      <c r="H300" s="23"/>
      <c r="I300" s="23"/>
      <c r="J300" s="23"/>
      <c r="K300" s="23"/>
    </row>
    <row r="301" spans="1:11" ht="18" customHeight="1">
      <c r="A301" s="23"/>
      <c r="B301" s="24">
        <v>46411</v>
      </c>
      <c r="C301" s="23"/>
      <c r="D301" s="23"/>
      <c r="E301" s="23"/>
      <c r="F301" s="23"/>
      <c r="G301" s="23"/>
      <c r="H301" s="23"/>
      <c r="I301" s="23"/>
      <c r="J301" s="23"/>
      <c r="K301" s="23"/>
    </row>
    <row r="302" spans="1:11" ht="18" customHeight="1">
      <c r="A302" s="23"/>
      <c r="B302" s="24">
        <v>46412</v>
      </c>
      <c r="C302" s="23"/>
      <c r="D302" s="23"/>
      <c r="E302" s="23"/>
      <c r="F302" s="23"/>
      <c r="G302" s="23"/>
      <c r="H302" s="23"/>
      <c r="I302" s="23"/>
      <c r="J302" s="23"/>
      <c r="K302" s="23"/>
    </row>
    <row r="303" spans="1:11" ht="18" customHeight="1">
      <c r="A303" s="23"/>
      <c r="B303" s="24">
        <v>46413</v>
      </c>
      <c r="C303" s="23"/>
      <c r="D303" s="23"/>
      <c r="E303" s="23"/>
      <c r="F303" s="23"/>
      <c r="G303" s="23"/>
      <c r="H303" s="23"/>
      <c r="I303" s="23"/>
      <c r="J303" s="23"/>
      <c r="K303" s="23"/>
    </row>
    <row r="304" spans="1:11" ht="18" customHeight="1">
      <c r="A304" s="23"/>
      <c r="B304" s="24">
        <v>46414</v>
      </c>
      <c r="C304" s="23"/>
      <c r="D304" s="23"/>
      <c r="E304" s="23"/>
      <c r="F304" s="23"/>
      <c r="G304" s="23"/>
      <c r="H304" s="23"/>
      <c r="I304" s="23"/>
      <c r="J304" s="23"/>
      <c r="K304" s="23"/>
    </row>
    <row r="305" spans="1:11" ht="18" customHeight="1">
      <c r="A305" s="23"/>
      <c r="B305" s="24">
        <v>46415</v>
      </c>
      <c r="C305" s="23"/>
      <c r="D305" s="23"/>
      <c r="E305" s="23"/>
      <c r="F305" s="23"/>
      <c r="G305" s="23"/>
      <c r="H305" s="23"/>
      <c r="I305" s="23"/>
      <c r="J305" s="23"/>
      <c r="K305" s="23"/>
    </row>
    <row r="306" spans="1:11" ht="18" customHeight="1">
      <c r="A306" s="23"/>
      <c r="B306" s="24">
        <v>46416</v>
      </c>
      <c r="C306" s="23"/>
      <c r="D306" s="23"/>
      <c r="E306" s="23"/>
      <c r="F306" s="23"/>
      <c r="G306" s="23"/>
      <c r="H306" s="23"/>
      <c r="I306" s="23"/>
      <c r="J306" s="23"/>
      <c r="K306" s="23"/>
    </row>
    <row r="307" spans="1:11" ht="18" customHeight="1">
      <c r="A307" s="23"/>
      <c r="B307" s="24">
        <v>46417</v>
      </c>
      <c r="C307" s="23"/>
      <c r="D307" s="23"/>
      <c r="E307" s="23"/>
      <c r="F307" s="23"/>
      <c r="G307" s="23"/>
      <c r="H307" s="23"/>
      <c r="I307" s="23"/>
      <c r="J307" s="23"/>
      <c r="K307" s="23"/>
    </row>
    <row r="308" spans="1:11" ht="18" customHeight="1">
      <c r="A308" s="23"/>
      <c r="B308" s="24">
        <v>46418</v>
      </c>
      <c r="C308" s="23"/>
      <c r="D308" s="23"/>
      <c r="E308" s="23"/>
      <c r="F308" s="23"/>
      <c r="G308" s="23"/>
      <c r="H308" s="23"/>
      <c r="I308" s="23"/>
      <c r="J308" s="23"/>
      <c r="K308" s="23"/>
    </row>
    <row r="309" spans="1:11" ht="18" customHeight="1">
      <c r="A309" s="23" t="s">
        <v>18</v>
      </c>
      <c r="B309" s="24">
        <v>46419</v>
      </c>
      <c r="C309" s="23"/>
      <c r="D309" s="23"/>
      <c r="E309" s="23"/>
      <c r="F309" s="23"/>
      <c r="G309" s="23"/>
      <c r="H309" s="23"/>
      <c r="I309" s="23"/>
      <c r="J309" s="23"/>
      <c r="K309" s="23"/>
    </row>
    <row r="310" spans="1:11" ht="18" customHeight="1">
      <c r="A310" s="23"/>
      <c r="B310" s="24">
        <v>46420</v>
      </c>
      <c r="C310" s="23"/>
      <c r="D310" s="23"/>
      <c r="E310" s="23"/>
      <c r="F310" s="23"/>
      <c r="G310" s="23"/>
      <c r="H310" s="23"/>
      <c r="I310" s="23"/>
      <c r="J310" s="23"/>
      <c r="K310" s="23"/>
    </row>
    <row r="311" spans="1:11" ht="18" customHeight="1">
      <c r="A311" s="23"/>
      <c r="B311" s="24">
        <v>46421</v>
      </c>
      <c r="C311" s="23"/>
      <c r="D311" s="23"/>
      <c r="E311" s="23"/>
      <c r="F311" s="23"/>
      <c r="G311" s="23"/>
      <c r="H311" s="23"/>
      <c r="I311" s="23"/>
      <c r="J311" s="23"/>
      <c r="K311" s="23"/>
    </row>
    <row r="312" spans="1:11" ht="18" customHeight="1">
      <c r="A312" s="23"/>
      <c r="B312" s="24">
        <v>46422</v>
      </c>
      <c r="C312" s="23"/>
      <c r="D312" s="23"/>
      <c r="E312" s="23"/>
      <c r="F312" s="23"/>
      <c r="G312" s="23"/>
      <c r="H312" s="23"/>
      <c r="I312" s="23"/>
      <c r="J312" s="23"/>
      <c r="K312" s="23"/>
    </row>
    <row r="313" spans="1:11" ht="18" customHeight="1">
      <c r="A313" s="23"/>
      <c r="B313" s="24">
        <v>46423</v>
      </c>
      <c r="C313" s="23"/>
      <c r="D313" s="23"/>
      <c r="E313" s="23"/>
      <c r="F313" s="23"/>
      <c r="G313" s="23"/>
      <c r="H313" s="23"/>
      <c r="I313" s="23"/>
      <c r="J313" s="23"/>
      <c r="K313" s="23"/>
    </row>
    <row r="314" spans="1:11" ht="18" customHeight="1">
      <c r="A314" s="23"/>
      <c r="B314" s="24">
        <v>46424</v>
      </c>
      <c r="C314" s="23"/>
      <c r="D314" s="23"/>
      <c r="E314" s="23"/>
      <c r="F314" s="23"/>
      <c r="G314" s="23"/>
      <c r="H314" s="23"/>
      <c r="I314" s="23"/>
      <c r="J314" s="23"/>
      <c r="K314" s="23"/>
    </row>
    <row r="315" spans="1:11" ht="18" customHeight="1">
      <c r="A315" s="23"/>
      <c r="B315" s="24">
        <v>46425</v>
      </c>
      <c r="C315" s="23"/>
      <c r="D315" s="23"/>
      <c r="E315" s="23"/>
      <c r="F315" s="23"/>
      <c r="G315" s="23"/>
      <c r="H315" s="23"/>
      <c r="I315" s="23"/>
      <c r="J315" s="23"/>
      <c r="K315" s="23"/>
    </row>
    <row r="316" spans="1:11" ht="18" customHeight="1">
      <c r="A316" s="23"/>
      <c r="B316" s="24">
        <v>46426</v>
      </c>
      <c r="C316" s="23"/>
      <c r="D316" s="23"/>
      <c r="E316" s="23"/>
      <c r="F316" s="23"/>
      <c r="G316" s="23"/>
      <c r="H316" s="23"/>
      <c r="I316" s="23"/>
      <c r="J316" s="23"/>
      <c r="K316" s="23"/>
    </row>
    <row r="317" spans="1:11" ht="18" customHeight="1">
      <c r="A317" s="23"/>
      <c r="B317" s="24">
        <v>46427</v>
      </c>
      <c r="C317" s="23"/>
      <c r="D317" s="23"/>
      <c r="E317" s="23"/>
      <c r="F317" s="23"/>
      <c r="G317" s="23"/>
      <c r="H317" s="23"/>
      <c r="I317" s="23"/>
      <c r="J317" s="23"/>
      <c r="K317" s="23"/>
    </row>
    <row r="318" spans="1:11" ht="18" customHeight="1">
      <c r="A318" s="23"/>
      <c r="B318" s="24">
        <v>46428</v>
      </c>
      <c r="C318" s="23"/>
      <c r="D318" s="23"/>
      <c r="E318" s="23"/>
      <c r="F318" s="23"/>
      <c r="G318" s="23"/>
      <c r="H318" s="23"/>
      <c r="I318" s="23"/>
      <c r="J318" s="23"/>
      <c r="K318" s="23"/>
    </row>
    <row r="319" spans="1:11" ht="18" customHeight="1">
      <c r="A319" s="23"/>
      <c r="B319" s="24">
        <v>46429</v>
      </c>
      <c r="C319" s="23"/>
      <c r="D319" s="23"/>
      <c r="E319" s="23"/>
      <c r="F319" s="23"/>
      <c r="G319" s="23"/>
      <c r="H319" s="23"/>
      <c r="I319" s="23"/>
      <c r="J319" s="23"/>
      <c r="K319" s="23"/>
    </row>
    <row r="320" spans="1:11" ht="18" customHeight="1">
      <c r="A320" s="23"/>
      <c r="B320" s="24">
        <v>46430</v>
      </c>
      <c r="C320" s="23"/>
      <c r="D320" s="23"/>
      <c r="E320" s="23"/>
      <c r="F320" s="23"/>
      <c r="G320" s="23"/>
      <c r="H320" s="23"/>
      <c r="I320" s="23"/>
      <c r="J320" s="23"/>
      <c r="K320" s="23"/>
    </row>
    <row r="321" spans="1:11" ht="18" customHeight="1">
      <c r="A321" s="23"/>
      <c r="B321" s="24">
        <v>46431</v>
      </c>
      <c r="C321" s="23"/>
      <c r="D321" s="23"/>
      <c r="E321" s="23"/>
      <c r="F321" s="23"/>
      <c r="G321" s="23"/>
      <c r="H321" s="23"/>
      <c r="I321" s="23"/>
      <c r="J321" s="23"/>
      <c r="K321" s="23"/>
    </row>
    <row r="322" spans="1:11" ht="18" customHeight="1">
      <c r="A322" s="23"/>
      <c r="B322" s="24">
        <v>46432</v>
      </c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ht="18" customHeight="1">
      <c r="A323" s="23"/>
      <c r="B323" s="24">
        <v>46433</v>
      </c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ht="18" customHeight="1">
      <c r="A324" s="23"/>
      <c r="B324" s="24">
        <v>46434</v>
      </c>
      <c r="C324" s="23"/>
      <c r="D324" s="23"/>
      <c r="E324" s="23"/>
      <c r="F324" s="23"/>
      <c r="G324" s="23"/>
      <c r="H324" s="23"/>
      <c r="I324" s="23"/>
      <c r="J324" s="23"/>
      <c r="K324" s="23"/>
    </row>
    <row r="325" spans="1:11" ht="18" customHeight="1">
      <c r="A325" s="23"/>
      <c r="B325" s="24">
        <v>46435</v>
      </c>
      <c r="C325" s="23"/>
      <c r="D325" s="23"/>
      <c r="E325" s="23"/>
      <c r="F325" s="23"/>
      <c r="G325" s="23"/>
      <c r="H325" s="23"/>
      <c r="I325" s="23"/>
      <c r="J325" s="23"/>
      <c r="K325" s="23"/>
    </row>
    <row r="326" spans="1:11" ht="18" customHeight="1">
      <c r="A326" s="23"/>
      <c r="B326" s="24">
        <v>46436</v>
      </c>
      <c r="C326" s="23"/>
      <c r="D326" s="23"/>
      <c r="E326" s="23"/>
      <c r="F326" s="23"/>
      <c r="G326" s="23"/>
      <c r="H326" s="23"/>
      <c r="I326" s="23"/>
      <c r="J326" s="23"/>
      <c r="K326" s="23"/>
    </row>
    <row r="327" spans="1:11" ht="18" customHeight="1">
      <c r="A327" s="23"/>
      <c r="B327" s="24">
        <v>46437</v>
      </c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ht="18" customHeight="1">
      <c r="A328" s="23"/>
      <c r="B328" s="24">
        <v>46438</v>
      </c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ht="18" customHeight="1">
      <c r="A329" s="23"/>
      <c r="B329" s="24">
        <v>46439</v>
      </c>
      <c r="C329" s="23"/>
      <c r="D329" s="23"/>
      <c r="E329" s="23"/>
      <c r="F329" s="23"/>
      <c r="G329" s="23"/>
      <c r="H329" s="23"/>
      <c r="I329" s="23"/>
      <c r="J329" s="23"/>
      <c r="K329" s="23"/>
    </row>
    <row r="330" spans="1:11" ht="18" customHeight="1">
      <c r="A330" s="23"/>
      <c r="B330" s="24">
        <v>46440</v>
      </c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1:11" ht="18" customHeight="1">
      <c r="A331" s="23"/>
      <c r="B331" s="24">
        <v>46441</v>
      </c>
      <c r="C331" s="23"/>
      <c r="D331" s="23"/>
      <c r="E331" s="23"/>
      <c r="F331" s="23"/>
      <c r="G331" s="23"/>
      <c r="H331" s="23"/>
      <c r="I331" s="23"/>
      <c r="J331" s="23"/>
      <c r="K331" s="23"/>
    </row>
    <row r="332" spans="1:11" ht="18" customHeight="1">
      <c r="A332" s="23"/>
      <c r="B332" s="24">
        <v>46442</v>
      </c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ht="18" customHeight="1">
      <c r="A333" s="23"/>
      <c r="B333" s="24">
        <v>46443</v>
      </c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ht="18" customHeight="1">
      <c r="A334" s="23"/>
      <c r="B334" s="24">
        <v>46444</v>
      </c>
      <c r="C334" s="23"/>
      <c r="D334" s="23"/>
      <c r="E334" s="23"/>
      <c r="F334" s="23"/>
      <c r="G334" s="23"/>
      <c r="H334" s="23"/>
      <c r="I334" s="23"/>
      <c r="J334" s="23"/>
      <c r="K334" s="23"/>
    </row>
    <row r="335" spans="1:11" ht="18" customHeight="1">
      <c r="A335" s="23"/>
      <c r="B335" s="24">
        <v>46445</v>
      </c>
      <c r="C335" s="23"/>
      <c r="D335" s="23"/>
      <c r="E335" s="23"/>
      <c r="F335" s="23"/>
      <c r="G335" s="23"/>
      <c r="H335" s="23"/>
      <c r="I335" s="23"/>
      <c r="J335" s="23"/>
      <c r="K335" s="23"/>
    </row>
    <row r="336" spans="1:11" ht="18" customHeight="1">
      <c r="A336" s="23"/>
      <c r="B336" s="24">
        <v>46446</v>
      </c>
      <c r="C336" s="23"/>
      <c r="D336" s="23"/>
      <c r="E336" s="23"/>
      <c r="F336" s="23"/>
      <c r="G336" s="23"/>
      <c r="H336" s="23"/>
      <c r="I336" s="23"/>
      <c r="J336" s="23"/>
      <c r="K336" s="23"/>
    </row>
    <row r="337" spans="1:11" ht="18" customHeight="1">
      <c r="A337" s="23" t="s">
        <v>19</v>
      </c>
      <c r="B337" s="24">
        <v>46447</v>
      </c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ht="18" customHeight="1">
      <c r="A338" s="23"/>
      <c r="B338" s="24">
        <v>46448</v>
      </c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ht="18" customHeight="1">
      <c r="A339" s="23"/>
      <c r="B339" s="24">
        <v>46449</v>
      </c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ht="18" customHeight="1">
      <c r="A340" s="23"/>
      <c r="B340" s="24">
        <v>46450</v>
      </c>
      <c r="C340" s="23"/>
      <c r="D340" s="23"/>
      <c r="E340" s="23"/>
      <c r="F340" s="23"/>
      <c r="G340" s="23"/>
      <c r="H340" s="23"/>
      <c r="I340" s="23"/>
      <c r="J340" s="23"/>
      <c r="K340" s="23"/>
    </row>
    <row r="341" spans="1:11" ht="18" customHeight="1">
      <c r="A341" s="23"/>
      <c r="B341" s="24">
        <v>46451</v>
      </c>
      <c r="C341" s="23"/>
      <c r="D341" s="23"/>
      <c r="E341" s="23"/>
      <c r="F341" s="23"/>
      <c r="G341" s="23"/>
      <c r="H341" s="23"/>
      <c r="I341" s="23"/>
      <c r="J341" s="23"/>
      <c r="K341" s="23"/>
    </row>
    <row r="342" spans="1:11" ht="18" customHeight="1">
      <c r="A342" s="23"/>
      <c r="B342" s="24">
        <v>46452</v>
      </c>
      <c r="C342" s="23"/>
      <c r="D342" s="23"/>
      <c r="E342" s="23"/>
      <c r="F342" s="23"/>
      <c r="G342" s="23"/>
      <c r="H342" s="23"/>
      <c r="I342" s="23"/>
      <c r="J342" s="23"/>
      <c r="K342" s="23"/>
    </row>
    <row r="343" spans="1:11" ht="18" customHeight="1">
      <c r="A343" s="23"/>
      <c r="B343" s="24">
        <v>46453</v>
      </c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ht="18" customHeight="1">
      <c r="A344" s="23"/>
      <c r="B344" s="24">
        <v>46454</v>
      </c>
      <c r="C344" s="23"/>
      <c r="D344" s="23"/>
      <c r="E344" s="23"/>
      <c r="F344" s="23"/>
      <c r="G344" s="23"/>
      <c r="H344" s="23"/>
      <c r="I344" s="23"/>
      <c r="J344" s="23"/>
      <c r="K344" s="23"/>
    </row>
    <row r="345" spans="1:11" ht="18" customHeight="1">
      <c r="A345" s="23"/>
      <c r="B345" s="24">
        <v>46455</v>
      </c>
      <c r="C345" s="23"/>
      <c r="D345" s="23"/>
      <c r="E345" s="23"/>
      <c r="F345" s="23"/>
      <c r="G345" s="23"/>
      <c r="H345" s="23"/>
      <c r="I345" s="23"/>
      <c r="J345" s="23"/>
      <c r="K345" s="23"/>
    </row>
    <row r="346" spans="1:11" ht="18" customHeight="1">
      <c r="A346" s="23"/>
      <c r="B346" s="24">
        <v>46456</v>
      </c>
      <c r="C346" s="23"/>
      <c r="D346" s="23"/>
      <c r="E346" s="23"/>
      <c r="F346" s="23"/>
      <c r="G346" s="23"/>
      <c r="H346" s="23"/>
      <c r="I346" s="23"/>
      <c r="J346" s="23"/>
      <c r="K346" s="23"/>
    </row>
    <row r="347" spans="1:11" ht="18" customHeight="1">
      <c r="A347" s="23"/>
      <c r="B347" s="24">
        <v>46457</v>
      </c>
      <c r="C347" s="23"/>
      <c r="D347" s="23"/>
      <c r="E347" s="23"/>
      <c r="F347" s="23"/>
      <c r="G347" s="23"/>
      <c r="H347" s="23"/>
      <c r="I347" s="23"/>
      <c r="J347" s="23"/>
      <c r="K347" s="23"/>
    </row>
    <row r="348" spans="1:11" ht="18" customHeight="1">
      <c r="A348" s="23"/>
      <c r="B348" s="24">
        <v>46458</v>
      </c>
      <c r="C348" s="23"/>
      <c r="D348" s="23"/>
      <c r="E348" s="23"/>
      <c r="F348" s="23"/>
      <c r="G348" s="23"/>
      <c r="H348" s="23"/>
      <c r="I348" s="23"/>
      <c r="J348" s="23"/>
      <c r="K348" s="23"/>
    </row>
    <row r="349" spans="1:11" ht="18" customHeight="1">
      <c r="A349" s="23"/>
      <c r="B349" s="24">
        <v>46459</v>
      </c>
      <c r="C349" s="23"/>
      <c r="D349" s="23"/>
      <c r="E349" s="23"/>
      <c r="F349" s="23"/>
      <c r="G349" s="23"/>
      <c r="H349" s="23"/>
      <c r="I349" s="23"/>
      <c r="J349" s="23"/>
      <c r="K349" s="23"/>
    </row>
    <row r="350" spans="1:11" ht="18" customHeight="1">
      <c r="A350" s="23"/>
      <c r="B350" s="24">
        <v>46460</v>
      </c>
      <c r="C350" s="23"/>
      <c r="D350" s="23"/>
      <c r="E350" s="23"/>
      <c r="F350" s="23"/>
      <c r="G350" s="23"/>
      <c r="H350" s="23"/>
      <c r="I350" s="23"/>
      <c r="J350" s="23"/>
      <c r="K350" s="23"/>
    </row>
    <row r="351" spans="1:11" ht="18" customHeight="1">
      <c r="A351" s="23"/>
      <c r="B351" s="24">
        <v>46461</v>
      </c>
      <c r="C351" s="23"/>
      <c r="D351" s="23"/>
      <c r="E351" s="23"/>
      <c r="F351" s="23"/>
      <c r="G351" s="23"/>
      <c r="H351" s="23"/>
      <c r="I351" s="23"/>
      <c r="J351" s="23"/>
      <c r="K351" s="23"/>
    </row>
    <row r="352" spans="1:11" ht="18" customHeight="1">
      <c r="A352" s="23"/>
      <c r="B352" s="24">
        <v>46462</v>
      </c>
      <c r="C352" s="23"/>
      <c r="D352" s="23"/>
      <c r="E352" s="23"/>
      <c r="F352" s="23"/>
      <c r="G352" s="23"/>
      <c r="H352" s="23"/>
      <c r="I352" s="23"/>
      <c r="J352" s="23"/>
      <c r="K352" s="23"/>
    </row>
    <row r="353" spans="1:11" ht="18" customHeight="1">
      <c r="A353" s="23"/>
      <c r="B353" s="24">
        <v>46463</v>
      </c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ht="18" customHeight="1">
      <c r="A354" s="23"/>
      <c r="B354" s="24">
        <v>46464</v>
      </c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ht="18" customHeight="1">
      <c r="A355" s="23"/>
      <c r="B355" s="24">
        <v>46465</v>
      </c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ht="18" customHeight="1">
      <c r="A356" s="23"/>
      <c r="B356" s="24">
        <v>46466</v>
      </c>
      <c r="C356" s="23"/>
      <c r="D356" s="23"/>
      <c r="E356" s="23"/>
      <c r="F356" s="23"/>
      <c r="G356" s="23"/>
      <c r="H356" s="23"/>
      <c r="I356" s="23"/>
      <c r="J356" s="23"/>
      <c r="K356" s="23"/>
    </row>
    <row r="357" spans="1:11" ht="18" customHeight="1">
      <c r="A357" s="23"/>
      <c r="B357" s="24">
        <v>46467</v>
      </c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ht="18" customHeight="1">
      <c r="A358" s="23"/>
      <c r="B358" s="24">
        <v>46468</v>
      </c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ht="18" customHeight="1">
      <c r="A359" s="23"/>
      <c r="B359" s="24">
        <v>46469</v>
      </c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ht="18" customHeight="1">
      <c r="A360" s="23"/>
      <c r="B360" s="24">
        <v>46470</v>
      </c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ht="18" customHeight="1">
      <c r="A361" s="23"/>
      <c r="B361" s="24">
        <v>46471</v>
      </c>
      <c r="C361" s="23"/>
      <c r="D361" s="23"/>
      <c r="E361" s="23"/>
      <c r="F361" s="23"/>
      <c r="G361" s="23"/>
      <c r="H361" s="23"/>
      <c r="I361" s="23"/>
      <c r="J361" s="23"/>
      <c r="K361" s="23"/>
    </row>
    <row r="362" spans="1:11" ht="18" customHeight="1">
      <c r="A362" s="23"/>
      <c r="B362" s="24">
        <v>46472</v>
      </c>
      <c r="C362" s="23"/>
      <c r="D362" s="23"/>
      <c r="E362" s="23"/>
      <c r="F362" s="23"/>
      <c r="G362" s="23"/>
      <c r="H362" s="23"/>
      <c r="I362" s="23"/>
      <c r="J362" s="23"/>
      <c r="K362" s="23"/>
    </row>
    <row r="363" spans="1:11" ht="18" customHeight="1">
      <c r="A363" s="23"/>
      <c r="B363" s="24">
        <v>46473</v>
      </c>
      <c r="C363" s="23"/>
      <c r="D363" s="23"/>
      <c r="E363" s="23"/>
      <c r="F363" s="23"/>
      <c r="G363" s="23"/>
      <c r="H363" s="23"/>
      <c r="I363" s="23"/>
      <c r="J363" s="23"/>
      <c r="K363" s="23"/>
    </row>
    <row r="364" spans="1:11" ht="18" customHeight="1">
      <c r="A364" s="23"/>
      <c r="B364" s="24">
        <v>46474</v>
      </c>
      <c r="C364" s="23"/>
      <c r="D364" s="23"/>
      <c r="E364" s="23"/>
      <c r="F364" s="23"/>
      <c r="G364" s="23"/>
      <c r="H364" s="23"/>
      <c r="I364" s="23"/>
      <c r="J364" s="23"/>
      <c r="K364" s="23"/>
    </row>
    <row r="365" spans="1:11" ht="18" customHeight="1">
      <c r="A365" s="23"/>
      <c r="B365" s="24">
        <v>46475</v>
      </c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ht="18" customHeight="1">
      <c r="A366" s="23"/>
      <c r="B366" s="24">
        <v>46476</v>
      </c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ht="18" customHeight="1">
      <c r="A367" s="23"/>
      <c r="B367" s="24">
        <v>46477</v>
      </c>
      <c r="C367" s="23"/>
      <c r="D367" s="23"/>
      <c r="E367" s="23"/>
      <c r="F367" s="23"/>
      <c r="G367" s="23"/>
      <c r="H367" s="23"/>
      <c r="I367" s="23"/>
      <c r="J367" s="23"/>
      <c r="K367" s="23"/>
    </row>
  </sheetData>
  <mergeCells count="10">
    <mergeCell ref="A186:A216"/>
    <mergeCell ref="A125:A155"/>
    <mergeCell ref="A156:A185"/>
    <mergeCell ref="C1:E1"/>
    <mergeCell ref="F1:H1"/>
    <mergeCell ref="I1:K1"/>
    <mergeCell ref="A3:A32"/>
    <mergeCell ref="A33:A63"/>
    <mergeCell ref="A64:A93"/>
    <mergeCell ref="A94:A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05"/>
  <sheetViews>
    <sheetView tabSelected="1" topLeftCell="D1" zoomScale="85" zoomScaleNormal="85" workbookViewId="0">
      <pane ySplit="1" topLeftCell="A59" activePane="bottomLeft" state="frozen"/>
      <selection activeCell="C1" sqref="C1"/>
      <selection pane="bottomLeft" activeCell="G207" sqref="G207"/>
    </sheetView>
  </sheetViews>
  <sheetFormatPr defaultRowHeight="15"/>
  <cols>
    <col min="1" max="1" width="9.140625" style="2"/>
    <col min="2" max="2" width="19.28515625" customWidth="1"/>
    <col min="3" max="3" width="32" customWidth="1"/>
    <col min="4" max="4" width="32" style="16" customWidth="1"/>
    <col min="5" max="5" width="21.28515625" customWidth="1"/>
    <col min="6" max="6" width="33" customWidth="1"/>
    <col min="7" max="7" width="32.85546875" customWidth="1"/>
    <col min="8" max="8" width="24.28515625" customWidth="1"/>
    <col min="9" max="9" width="29.85546875" customWidth="1"/>
    <col min="10" max="10" width="25.85546875" customWidth="1"/>
    <col min="11" max="11" width="18.85546875" customWidth="1"/>
    <col min="12" max="12" width="25.5703125" customWidth="1"/>
    <col min="13" max="13" width="17.7109375" style="2" customWidth="1"/>
    <col min="14" max="14" width="15.85546875" customWidth="1"/>
    <col min="15" max="15" width="11" customWidth="1"/>
  </cols>
  <sheetData>
    <row r="1" spans="1:15" ht="30.75" thickBot="1">
      <c r="A1" s="20" t="s">
        <v>3</v>
      </c>
      <c r="B1" s="21" t="s">
        <v>20</v>
      </c>
      <c r="C1" s="21" t="s">
        <v>21</v>
      </c>
      <c r="D1" s="21" t="s">
        <v>56</v>
      </c>
      <c r="E1" s="21" t="s">
        <v>22</v>
      </c>
      <c r="F1" s="21" t="s">
        <v>23</v>
      </c>
      <c r="G1" s="21" t="s">
        <v>24</v>
      </c>
      <c r="H1" s="21" t="s">
        <v>25</v>
      </c>
      <c r="I1" s="21" t="s">
        <v>26</v>
      </c>
      <c r="J1" s="21" t="s">
        <v>27</v>
      </c>
      <c r="K1" s="21" t="s">
        <v>28</v>
      </c>
      <c r="L1" s="21" t="s">
        <v>29</v>
      </c>
      <c r="M1" s="21" t="s">
        <v>30</v>
      </c>
      <c r="N1" s="21" t="s">
        <v>31</v>
      </c>
      <c r="O1" s="21" t="s">
        <v>32</v>
      </c>
    </row>
    <row r="2" spans="1:15" ht="20.25" thickBot="1">
      <c r="A2" s="44" t="s">
        <v>8</v>
      </c>
      <c r="B2" s="17">
        <v>46113</v>
      </c>
      <c r="C2" s="12">
        <v>0.73160000000000003</v>
      </c>
      <c r="D2" s="26">
        <v>0.73158542479999999</v>
      </c>
      <c r="E2" s="12">
        <f>SUM($C$2:C2)/COUNT($C$2:C2)</f>
        <v>0.73160000000000003</v>
      </c>
      <c r="F2" s="3">
        <v>10</v>
      </c>
      <c r="G2" s="64">
        <v>156</v>
      </c>
      <c r="H2" s="72">
        <v>902.94000000000017</v>
      </c>
      <c r="I2" s="73">
        <v>22</v>
      </c>
      <c r="J2" s="72">
        <v>0</v>
      </c>
      <c r="K2" s="73">
        <v>0</v>
      </c>
      <c r="L2" s="10">
        <v>0</v>
      </c>
      <c r="N2" s="3">
        <v>11</v>
      </c>
      <c r="O2" s="3" t="s">
        <v>33</v>
      </c>
    </row>
    <row r="3" spans="1:15" ht="20.25" thickBot="1">
      <c r="A3" s="44"/>
      <c r="B3" s="17">
        <v>46114</v>
      </c>
      <c r="C3" s="6">
        <v>0.75649999999999995</v>
      </c>
      <c r="D3" s="27">
        <v>0.74405896709999997</v>
      </c>
      <c r="E3" s="4">
        <f>SUM($C$2:C3)/COUNT($C$2:C3)</f>
        <v>0.74404999999999999</v>
      </c>
      <c r="F3" s="3">
        <v>10</v>
      </c>
      <c r="G3" s="65">
        <v>223</v>
      </c>
      <c r="H3" s="72">
        <v>888.52999999999986</v>
      </c>
      <c r="I3" s="73">
        <v>21</v>
      </c>
      <c r="J3" s="72">
        <v>40.33</v>
      </c>
      <c r="K3" s="73">
        <v>1</v>
      </c>
      <c r="L3" s="11">
        <v>484</v>
      </c>
      <c r="N3" s="3"/>
      <c r="O3" s="3" t="s">
        <v>33</v>
      </c>
    </row>
    <row r="4" spans="1:15" ht="20.25" thickBot="1">
      <c r="A4" s="44"/>
      <c r="B4" s="17">
        <v>46115</v>
      </c>
      <c r="C4" s="6">
        <v>0.73040000000000005</v>
      </c>
      <c r="D4" s="27">
        <v>0.73952024940000005</v>
      </c>
      <c r="E4" s="4">
        <f>SUM($C$2:C4)/COUNT($C$2:C4)</f>
        <v>0.73950000000000005</v>
      </c>
      <c r="F4" s="3"/>
      <c r="G4" s="65">
        <v>168</v>
      </c>
      <c r="H4" s="72">
        <v>844.42999999999984</v>
      </c>
      <c r="I4" s="73">
        <v>19</v>
      </c>
      <c r="J4" s="72">
        <v>0</v>
      </c>
      <c r="K4" s="73">
        <v>0</v>
      </c>
      <c r="L4" s="11">
        <v>195</v>
      </c>
      <c r="N4" s="3"/>
      <c r="O4" s="3" t="s">
        <v>33</v>
      </c>
    </row>
    <row r="5" spans="1:15" ht="20.25" thickBot="1">
      <c r="A5" s="44"/>
      <c r="B5" s="17">
        <v>46116</v>
      </c>
      <c r="C5" s="6">
        <v>0.71350000000000002</v>
      </c>
      <c r="D5" s="27">
        <v>0.73302305690000003</v>
      </c>
      <c r="E5" s="4">
        <f>SUM($C$2:C5)/COUNT($C$2:C5)</f>
        <v>0.7330000000000001</v>
      </c>
      <c r="F5" s="3"/>
      <c r="G5" s="65">
        <v>220</v>
      </c>
      <c r="H5" s="72">
        <v>705.78</v>
      </c>
      <c r="I5" s="73">
        <v>16</v>
      </c>
      <c r="J5" s="72">
        <v>192.11</v>
      </c>
      <c r="K5" s="73">
        <v>5</v>
      </c>
      <c r="L5" s="11">
        <v>170</v>
      </c>
      <c r="N5" s="3"/>
      <c r="O5" s="3" t="s">
        <v>33</v>
      </c>
    </row>
    <row r="6" spans="1:15" ht="20.25" thickBot="1">
      <c r="A6" s="44"/>
      <c r="B6" s="17">
        <v>46117</v>
      </c>
      <c r="C6" s="6">
        <v>0.73029999999999995</v>
      </c>
      <c r="D6" s="27">
        <v>0.73248156870000003</v>
      </c>
      <c r="E6" s="4">
        <f>SUM($C$2:C6)/COUNT($C$2:C6)</f>
        <v>0.73246</v>
      </c>
      <c r="F6" s="3"/>
      <c r="G6" s="65">
        <v>225</v>
      </c>
      <c r="H6" s="72">
        <v>383.28000000000003</v>
      </c>
      <c r="I6" s="73">
        <v>8</v>
      </c>
      <c r="J6" s="72">
        <v>0</v>
      </c>
      <c r="K6" s="73">
        <v>0</v>
      </c>
      <c r="L6" s="11">
        <v>127</v>
      </c>
      <c r="N6" s="3"/>
      <c r="O6" s="3" t="s">
        <v>33</v>
      </c>
    </row>
    <row r="7" spans="1:15" ht="20.25" thickBot="1">
      <c r="A7" s="44"/>
      <c r="B7" s="17">
        <v>46118</v>
      </c>
      <c r="C7" s="6">
        <v>0.70209999999999995</v>
      </c>
      <c r="D7" s="27">
        <v>0.72741617209999998</v>
      </c>
      <c r="E7" s="4">
        <f>SUM($C$2:C7)/COUNT($C$2:C7)</f>
        <v>0.72739999999999994</v>
      </c>
      <c r="F7" s="3"/>
      <c r="G7" s="65">
        <v>182</v>
      </c>
      <c r="H7" s="72">
        <v>241.06</v>
      </c>
      <c r="I7" s="73">
        <v>5</v>
      </c>
      <c r="J7" s="72">
        <v>369.55000000000007</v>
      </c>
      <c r="K7" s="73">
        <v>10</v>
      </c>
      <c r="L7" s="11">
        <v>152</v>
      </c>
      <c r="N7" s="3"/>
      <c r="O7" s="3" t="s">
        <v>33</v>
      </c>
    </row>
    <row r="8" spans="1:15" ht="20.25" thickBot="1">
      <c r="A8" s="44"/>
      <c r="B8" s="17">
        <v>46119</v>
      </c>
      <c r="C8" s="6">
        <v>0.74709999999999999</v>
      </c>
      <c r="D8" s="27">
        <v>0.73023434750000005</v>
      </c>
      <c r="E8" s="4">
        <f>SUM($C$2:C8)/COUNT($C$2:C8)</f>
        <v>0.73021428571428559</v>
      </c>
      <c r="F8" s="3"/>
      <c r="G8" s="65">
        <v>349</v>
      </c>
      <c r="H8" s="72">
        <v>629.17999999999984</v>
      </c>
      <c r="I8" s="73">
        <v>13</v>
      </c>
      <c r="J8" s="72">
        <v>0</v>
      </c>
      <c r="K8" s="73">
        <v>0</v>
      </c>
      <c r="L8" s="11">
        <v>436</v>
      </c>
      <c r="N8" s="3"/>
      <c r="O8" s="3" t="s">
        <v>33</v>
      </c>
    </row>
    <row r="9" spans="1:15" ht="20.25" thickBot="1">
      <c r="A9" s="44"/>
      <c r="B9" s="17">
        <v>46120</v>
      </c>
      <c r="C9" s="6">
        <v>0.75349999999999995</v>
      </c>
      <c r="D9" s="27">
        <v>0.73314690650000003</v>
      </c>
      <c r="E9" s="4">
        <f>SUM($C$2:C9)/COUNT($C$2:C9)</f>
        <v>0.73312499999999992</v>
      </c>
      <c r="F9" s="3"/>
      <c r="G9" s="65">
        <v>282</v>
      </c>
      <c r="H9" s="72">
        <v>893.90000000000009</v>
      </c>
      <c r="I9" s="73">
        <v>18</v>
      </c>
      <c r="J9" s="72">
        <v>210.1</v>
      </c>
      <c r="K9" s="73">
        <v>6</v>
      </c>
      <c r="L9" s="11">
        <v>42</v>
      </c>
      <c r="N9" s="3"/>
      <c r="O9" s="3" t="s">
        <v>33</v>
      </c>
    </row>
    <row r="10" spans="1:15" ht="20.25" thickBot="1">
      <c r="A10" s="44"/>
      <c r="B10" s="17">
        <v>46121</v>
      </c>
      <c r="C10" s="6">
        <v>0.68520000000000003</v>
      </c>
      <c r="D10" s="27">
        <v>0.72782097649999999</v>
      </c>
      <c r="E10" s="4">
        <f>SUM($C$2:C10)/COUNT($C$2:C10)</f>
        <v>0.72779999999999989</v>
      </c>
      <c r="F10" s="3"/>
      <c r="G10" s="65">
        <v>279</v>
      </c>
      <c r="H10" s="72">
        <v>347.80999999999995</v>
      </c>
      <c r="I10" s="73">
        <v>8</v>
      </c>
      <c r="J10" s="72">
        <v>273.89000000000004</v>
      </c>
      <c r="K10" s="73">
        <v>8</v>
      </c>
      <c r="L10" s="11">
        <v>335</v>
      </c>
      <c r="N10" s="3"/>
      <c r="O10" s="3" t="s">
        <v>33</v>
      </c>
    </row>
    <row r="11" spans="1:15" ht="20.25" thickBot="1">
      <c r="A11" s="44"/>
      <c r="B11" s="17">
        <v>46122</v>
      </c>
      <c r="C11" s="6">
        <v>0.75639999999999996</v>
      </c>
      <c r="D11" s="27">
        <v>0.73067474519999998</v>
      </c>
      <c r="E11" s="4">
        <f>SUM($C$2:C11)/COUNT($C$2:C11)</f>
        <v>0.73065999999999998</v>
      </c>
      <c r="F11" s="3"/>
      <c r="G11" s="65">
        <v>243</v>
      </c>
      <c r="H11" s="72">
        <v>365.83</v>
      </c>
      <c r="I11" s="73">
        <v>8</v>
      </c>
      <c r="J11" s="72">
        <v>277.02</v>
      </c>
      <c r="K11" s="73">
        <v>7</v>
      </c>
      <c r="L11" s="11">
        <v>0</v>
      </c>
      <c r="N11" s="3"/>
      <c r="O11" s="3" t="s">
        <v>33</v>
      </c>
    </row>
    <row r="12" spans="1:15" ht="20.25" thickBot="1">
      <c r="A12" s="44"/>
      <c r="B12" s="17">
        <v>46123</v>
      </c>
      <c r="C12" s="6">
        <v>0.72670000000000001</v>
      </c>
      <c r="D12" s="27">
        <v>0.7303115536</v>
      </c>
      <c r="E12" s="4">
        <f>SUM($C$2:C12)/COUNT($C$2:C12)</f>
        <v>0.73029999999999984</v>
      </c>
      <c r="F12" s="3"/>
      <c r="G12" s="65">
        <v>226</v>
      </c>
      <c r="H12" s="72">
        <v>1014.5200000000002</v>
      </c>
      <c r="I12" s="73">
        <v>24</v>
      </c>
      <c r="J12" s="72">
        <v>192.63</v>
      </c>
      <c r="K12" s="73">
        <v>5</v>
      </c>
      <c r="L12" s="11">
        <v>354</v>
      </c>
      <c r="N12" s="3"/>
      <c r="O12" s="3" t="s">
        <v>33</v>
      </c>
    </row>
    <row r="13" spans="1:15" ht="20.25" thickBot="1">
      <c r="A13" s="44"/>
      <c r="B13" s="17">
        <v>46124</v>
      </c>
      <c r="C13" s="6">
        <v>0.57479999999999998</v>
      </c>
      <c r="D13" s="27">
        <v>0.71734844549999999</v>
      </c>
      <c r="E13" s="4">
        <f>SUM($C$2:C13)/COUNT($C$2:C13)</f>
        <v>0.71734166666666654</v>
      </c>
      <c r="F13" s="3"/>
      <c r="G13" s="65">
        <v>296</v>
      </c>
      <c r="H13" s="72">
        <v>0</v>
      </c>
      <c r="I13" s="73">
        <v>0</v>
      </c>
      <c r="J13" s="72">
        <v>0</v>
      </c>
      <c r="K13" s="73">
        <v>0</v>
      </c>
      <c r="L13" s="11">
        <v>155</v>
      </c>
      <c r="N13" s="3"/>
      <c r="O13" s="3" t="s">
        <v>33</v>
      </c>
    </row>
    <row r="14" spans="1:15" ht="20.25" thickBot="1">
      <c r="A14" s="44"/>
      <c r="B14" s="17">
        <v>46125</v>
      </c>
      <c r="C14" s="6">
        <v>0.58050000000000002</v>
      </c>
      <c r="D14" s="27">
        <v>0.70682004369999996</v>
      </c>
      <c r="E14" s="4">
        <f>SUM($C$2:C14)/COUNT($C$2:C14)</f>
        <v>0.70681538461538451</v>
      </c>
      <c r="F14" s="3"/>
      <c r="G14" s="65">
        <v>312</v>
      </c>
      <c r="H14" s="72">
        <v>898.78000000000009</v>
      </c>
      <c r="I14" s="73">
        <v>21</v>
      </c>
      <c r="J14" s="72">
        <v>376.88</v>
      </c>
      <c r="K14" s="73">
        <v>10</v>
      </c>
      <c r="L14" s="11">
        <v>50</v>
      </c>
      <c r="N14" s="3"/>
      <c r="O14" s="3" t="s">
        <v>33</v>
      </c>
    </row>
    <row r="15" spans="1:15" ht="20.25" thickBot="1">
      <c r="A15" s="44"/>
      <c r="B15" s="17">
        <v>46126</v>
      </c>
      <c r="C15" s="6">
        <v>0.5323</v>
      </c>
      <c r="D15" s="27">
        <v>0.69435730969999998</v>
      </c>
      <c r="E15" s="4">
        <f>SUM($C$2:C15)/COUNT($C$2:C15)</f>
        <v>0.69434999999999991</v>
      </c>
      <c r="F15" s="3"/>
      <c r="G15" s="65">
        <v>219</v>
      </c>
      <c r="H15" s="72">
        <v>0</v>
      </c>
      <c r="I15" s="73">
        <v>0</v>
      </c>
      <c r="J15" s="72">
        <v>0</v>
      </c>
      <c r="K15" s="73">
        <v>0</v>
      </c>
      <c r="L15" s="11">
        <v>186</v>
      </c>
      <c r="N15" s="3"/>
      <c r="O15" s="3" t="s">
        <v>33</v>
      </c>
    </row>
    <row r="16" spans="1:15" ht="20.25" thickBot="1">
      <c r="A16" s="44"/>
      <c r="B16" s="17">
        <v>46127</v>
      </c>
      <c r="C16" s="6">
        <v>0.75870000000000004</v>
      </c>
      <c r="D16" s="27">
        <v>0.69864609570000002</v>
      </c>
      <c r="E16" s="4">
        <f>SUM($C$2:C16)/COUNT($C$2:C16)</f>
        <v>0.69863999999999982</v>
      </c>
      <c r="F16" s="3"/>
      <c r="G16" s="65">
        <v>14</v>
      </c>
      <c r="H16" s="72">
        <v>1010.2100000000002</v>
      </c>
      <c r="I16" s="73">
        <v>21</v>
      </c>
      <c r="J16" s="72">
        <v>402.21000000000004</v>
      </c>
      <c r="K16" s="73">
        <v>11</v>
      </c>
      <c r="L16" s="11">
        <v>137</v>
      </c>
      <c r="N16" s="3"/>
      <c r="O16" s="3" t="s">
        <v>33</v>
      </c>
    </row>
    <row r="17" spans="1:15" ht="20.25" thickBot="1">
      <c r="A17" s="44"/>
      <c r="B17" s="17">
        <v>46128</v>
      </c>
      <c r="C17" s="6">
        <v>0.88480000000000003</v>
      </c>
      <c r="D17" s="27">
        <v>0.71028256420000002</v>
      </c>
      <c r="E17" s="4">
        <f>SUM($C$2:C17)/COUNT($C$2:C17)</f>
        <v>0.71027499999999988</v>
      </c>
      <c r="F17" s="3"/>
      <c r="G17" s="65">
        <v>348</v>
      </c>
      <c r="H17" s="72">
        <v>817.04000000000008</v>
      </c>
      <c r="I17" s="73">
        <v>16</v>
      </c>
      <c r="J17" s="72">
        <v>461.14</v>
      </c>
      <c r="K17" s="73">
        <v>12</v>
      </c>
      <c r="L17" s="11">
        <v>340.3</v>
      </c>
      <c r="N17" s="3"/>
      <c r="O17" s="3" t="s">
        <v>33</v>
      </c>
    </row>
    <row r="18" spans="1:15" ht="20.25" thickBot="1">
      <c r="A18" s="44"/>
      <c r="B18" s="17">
        <v>46129</v>
      </c>
      <c r="C18" s="6">
        <v>0.85929999999999995</v>
      </c>
      <c r="D18" s="27">
        <v>0.7190504566</v>
      </c>
      <c r="E18" s="4">
        <f>SUM($C$2:C18)/COUNT($C$2:C18)</f>
        <v>0.71904117647058807</v>
      </c>
      <c r="F18" s="3"/>
      <c r="G18" s="65">
        <v>527</v>
      </c>
      <c r="H18" s="72">
        <v>570.43000000000006</v>
      </c>
      <c r="I18" s="73">
        <v>11</v>
      </c>
      <c r="J18" s="72">
        <v>665.67</v>
      </c>
      <c r="K18" s="73">
        <v>18</v>
      </c>
      <c r="L18" s="11">
        <v>677.7</v>
      </c>
      <c r="N18" s="3"/>
      <c r="O18" s="3" t="s">
        <v>33</v>
      </c>
    </row>
    <row r="19" spans="1:15" ht="20.25" thickBot="1">
      <c r="A19" s="44"/>
      <c r="B19" s="17">
        <v>46130</v>
      </c>
      <c r="C19" s="6">
        <v>0.92059999999999997</v>
      </c>
      <c r="D19" s="27">
        <v>0.73024692849999995</v>
      </c>
      <c r="E19" s="4">
        <f>SUM($C$2:C19)/COUNT($C$2:C19)</f>
        <v>0.73023888888888877</v>
      </c>
      <c r="F19" s="3"/>
      <c r="G19" s="65">
        <v>491</v>
      </c>
      <c r="H19" s="72">
        <v>990.16000000000008</v>
      </c>
      <c r="I19" s="73">
        <v>19</v>
      </c>
      <c r="J19" s="72">
        <v>496.13</v>
      </c>
      <c r="K19" s="73">
        <v>14</v>
      </c>
      <c r="L19" s="11">
        <v>588</v>
      </c>
      <c r="N19" s="3"/>
      <c r="O19" s="3" t="s">
        <v>33</v>
      </c>
    </row>
    <row r="20" spans="1:15" ht="20.25" thickBot="1">
      <c r="A20" s="44"/>
      <c r="B20" s="17">
        <v>46131</v>
      </c>
      <c r="C20" s="6">
        <v>0.99350000000000005</v>
      </c>
      <c r="D20" s="27">
        <v>0.74410084669999998</v>
      </c>
      <c r="E20" s="4">
        <f>SUM($C$2:C20)/COUNT($C$2:C20)</f>
        <v>0.74409473684210514</v>
      </c>
      <c r="F20" s="3"/>
      <c r="G20" s="65">
        <v>274</v>
      </c>
      <c r="H20" s="72">
        <v>0</v>
      </c>
      <c r="I20" s="73">
        <v>0</v>
      </c>
      <c r="J20" s="72">
        <v>0</v>
      </c>
      <c r="K20" s="73">
        <v>0</v>
      </c>
      <c r="L20" s="11">
        <v>67</v>
      </c>
      <c r="N20" s="3"/>
      <c r="O20" s="3" t="s">
        <v>33</v>
      </c>
    </row>
    <row r="21" spans="1:15" ht="20.25" thickBot="1">
      <c r="A21" s="44"/>
      <c r="B21" s="17">
        <v>46132</v>
      </c>
      <c r="C21" s="6">
        <v>0.88939999999999997</v>
      </c>
      <c r="D21" s="27">
        <v>0.75136587730000004</v>
      </c>
      <c r="E21" s="4">
        <f>SUM($C$2:C21)/COUNT($C$2:C21)</f>
        <v>0.75135999999999992</v>
      </c>
      <c r="F21" s="3"/>
      <c r="G21" s="65">
        <v>388</v>
      </c>
      <c r="H21" s="72">
        <v>1108.56</v>
      </c>
      <c r="I21" s="73">
        <v>21</v>
      </c>
      <c r="J21" s="72">
        <v>663.81</v>
      </c>
      <c r="K21" s="73">
        <v>18</v>
      </c>
      <c r="L21" s="11">
        <v>168</v>
      </c>
      <c r="N21" s="3"/>
      <c r="O21" s="3" t="s">
        <v>33</v>
      </c>
    </row>
    <row r="22" spans="1:15" ht="20.25" thickBot="1">
      <c r="A22" s="44"/>
      <c r="B22" s="17">
        <v>46133</v>
      </c>
      <c r="C22" s="6">
        <v>0.85589999999999999</v>
      </c>
      <c r="D22" s="27">
        <v>0.75634247809999999</v>
      </c>
      <c r="E22" s="4">
        <f>SUM($C$2:C22)/COUNT($C$2:C22)</f>
        <v>0.75633809523809514</v>
      </c>
      <c r="F22" s="3"/>
      <c r="G22" s="65">
        <v>350</v>
      </c>
      <c r="H22" s="72">
        <v>960.32000000000016</v>
      </c>
      <c r="I22" s="73">
        <v>20</v>
      </c>
      <c r="J22" s="72">
        <v>350.93</v>
      </c>
      <c r="K22" s="73">
        <v>9</v>
      </c>
      <c r="L22" s="11">
        <v>47</v>
      </c>
      <c r="N22" s="3"/>
      <c r="O22" s="3" t="s">
        <v>33</v>
      </c>
    </row>
    <row r="23" spans="1:15" ht="20.25" thickBot="1">
      <c r="A23" s="44"/>
      <c r="B23" s="17">
        <v>46134</v>
      </c>
      <c r="C23" s="6">
        <v>0.51910000000000001</v>
      </c>
      <c r="D23" s="27">
        <v>0.74555820350000002</v>
      </c>
      <c r="E23" s="4">
        <f>SUM($C$2:C23)/COUNT($C$2:C23)</f>
        <v>0.74555454545454547</v>
      </c>
      <c r="F23" s="3"/>
      <c r="G23" s="65">
        <v>418</v>
      </c>
      <c r="H23" s="72">
        <v>1029.05</v>
      </c>
      <c r="I23" s="73">
        <v>19</v>
      </c>
      <c r="J23" s="72">
        <v>473.09000000000003</v>
      </c>
      <c r="K23" s="73">
        <v>13</v>
      </c>
      <c r="L23" s="11">
        <v>199</v>
      </c>
      <c r="N23" s="3"/>
      <c r="O23" s="3" t="s">
        <v>33</v>
      </c>
    </row>
    <row r="24" spans="1:15" ht="20.25" thickBot="1">
      <c r="A24" s="44"/>
      <c r="B24" s="17">
        <v>46135</v>
      </c>
      <c r="C24" s="6">
        <v>0.85519999999999996</v>
      </c>
      <c r="D24" s="27">
        <v>0.75032590050000003</v>
      </c>
      <c r="E24" s="4">
        <f>SUM($C$2:C24)/COUNT($C$2:C24)</f>
        <v>0.75032173913043476</v>
      </c>
      <c r="F24" s="3"/>
      <c r="G24" s="65">
        <v>180</v>
      </c>
      <c r="H24" s="72">
        <v>683.19999999999993</v>
      </c>
      <c r="I24" s="73">
        <v>13</v>
      </c>
      <c r="J24" s="72">
        <v>364.76</v>
      </c>
      <c r="K24" s="73">
        <v>10</v>
      </c>
      <c r="L24" s="11">
        <v>499</v>
      </c>
      <c r="N24" s="3"/>
      <c r="O24" s="3" t="s">
        <v>33</v>
      </c>
    </row>
    <row r="25" spans="1:15" ht="20.25" thickBot="1">
      <c r="A25" s="44"/>
      <c r="B25" s="17">
        <v>46136</v>
      </c>
      <c r="C25" s="6">
        <v>1.0214000000000001</v>
      </c>
      <c r="D25" s="27">
        <v>0.7616223164</v>
      </c>
      <c r="E25" s="4">
        <f>SUM($C$2:C25)/COUNT($C$2:C25)</f>
        <v>0.76161666666666672</v>
      </c>
      <c r="F25" s="3"/>
      <c r="G25" s="65">
        <v>219</v>
      </c>
      <c r="H25" s="72">
        <v>47.68</v>
      </c>
      <c r="I25" s="73">
        <v>1</v>
      </c>
      <c r="J25" s="72">
        <v>522.92999999999995</v>
      </c>
      <c r="K25" s="73">
        <v>14</v>
      </c>
      <c r="L25" s="11">
        <v>199</v>
      </c>
      <c r="N25" s="3"/>
      <c r="O25" s="3" t="s">
        <v>33</v>
      </c>
    </row>
    <row r="26" spans="1:15" ht="20.25" thickBot="1">
      <c r="A26" s="44"/>
      <c r="B26" s="17">
        <v>46137</v>
      </c>
      <c r="C26" s="6">
        <v>0.98670000000000002</v>
      </c>
      <c r="D26" s="27">
        <v>0.77062562199999995</v>
      </c>
      <c r="E26" s="4">
        <f>SUM($C$2:C26)/COUNT($C$2:C26)</f>
        <v>0.77061999999999997</v>
      </c>
      <c r="F26" s="3"/>
      <c r="G26" s="65">
        <v>441</v>
      </c>
      <c r="H26" s="72">
        <v>1330.71</v>
      </c>
      <c r="I26" s="73">
        <v>26</v>
      </c>
      <c r="J26" s="72">
        <v>434.23</v>
      </c>
      <c r="K26" s="73">
        <v>11</v>
      </c>
      <c r="L26" s="11">
        <v>525</v>
      </c>
      <c r="N26" s="3"/>
      <c r="O26" s="3" t="s">
        <v>33</v>
      </c>
    </row>
    <row r="27" spans="1:15" ht="20.25" thickBot="1">
      <c r="A27" s="44"/>
      <c r="B27" s="17">
        <v>46138</v>
      </c>
      <c r="C27" s="6">
        <v>0.96020000000000005</v>
      </c>
      <c r="D27" s="27">
        <v>0.7779169293</v>
      </c>
      <c r="E27" s="4">
        <f>SUM($C$2:C27)/COUNT($C$2:C27)</f>
        <v>0.77791153846153849</v>
      </c>
      <c r="F27" s="3"/>
      <c r="G27" s="65">
        <v>351</v>
      </c>
      <c r="H27" s="72">
        <v>0</v>
      </c>
      <c r="I27" s="73">
        <v>0</v>
      </c>
      <c r="J27" s="72">
        <v>0</v>
      </c>
      <c r="K27" s="73">
        <v>0</v>
      </c>
      <c r="L27" s="11">
        <v>583</v>
      </c>
      <c r="N27" s="3"/>
      <c r="O27" s="3" t="s">
        <v>33</v>
      </c>
    </row>
    <row r="28" spans="1:15" ht="20.25" thickBot="1">
      <c r="A28" s="44"/>
      <c r="B28" s="17">
        <v>46139</v>
      </c>
      <c r="C28" s="6">
        <v>0.91739999999999999</v>
      </c>
      <c r="D28" s="27">
        <v>0.78308259459999996</v>
      </c>
      <c r="E28" s="4">
        <f>SUM($C$2:C28)/COUNT($C$2:C28)</f>
        <v>0.78307777777777776</v>
      </c>
      <c r="F28" s="3"/>
      <c r="G28" s="65">
        <v>431</v>
      </c>
      <c r="H28" s="72">
        <v>728.08999999999992</v>
      </c>
      <c r="I28" s="73">
        <v>13</v>
      </c>
      <c r="J28" s="72">
        <v>463.60999999999996</v>
      </c>
      <c r="K28" s="73">
        <v>13</v>
      </c>
      <c r="L28" s="11">
        <v>0</v>
      </c>
      <c r="N28" s="3"/>
      <c r="O28" s="3" t="s">
        <v>33</v>
      </c>
    </row>
    <row r="29" spans="1:15" ht="20.25" thickBot="1">
      <c r="A29" s="44"/>
      <c r="B29" s="17">
        <v>46140</v>
      </c>
      <c r="C29" s="6">
        <v>1.0262</v>
      </c>
      <c r="D29" s="27">
        <v>0.79176639790000003</v>
      </c>
      <c r="E29" s="4">
        <f>SUM($C$2:C29)/COUNT($C$2:C29)</f>
        <v>0.79176071428571426</v>
      </c>
      <c r="F29" s="3"/>
      <c r="G29" s="65">
        <v>369</v>
      </c>
      <c r="H29" s="72">
        <v>1020.5400000000001</v>
      </c>
      <c r="I29" s="73">
        <v>19</v>
      </c>
      <c r="J29" s="72">
        <v>220.93</v>
      </c>
      <c r="K29" s="73">
        <v>6</v>
      </c>
      <c r="L29" s="11">
        <v>398</v>
      </c>
      <c r="N29" s="3"/>
      <c r="O29" s="3" t="s">
        <v>33</v>
      </c>
    </row>
    <row r="30" spans="1:15" ht="20.25" thickBot="1">
      <c r="A30" s="44"/>
      <c r="B30" s="17">
        <v>46141</v>
      </c>
      <c r="C30" s="6">
        <v>1.0349999999999999</v>
      </c>
      <c r="D30" s="27">
        <v>0.80015516519999996</v>
      </c>
      <c r="E30" s="4">
        <f>SUM($C$2:C30)/COUNT($C$2:C30)</f>
        <v>0.80014827586206894</v>
      </c>
      <c r="F30" s="3"/>
      <c r="G30" s="65">
        <v>444</v>
      </c>
      <c r="H30" s="72">
        <v>417.54</v>
      </c>
      <c r="I30" s="73">
        <v>8</v>
      </c>
      <c r="J30" s="72">
        <v>112.64</v>
      </c>
      <c r="K30" s="73">
        <v>3</v>
      </c>
      <c r="L30" s="11">
        <v>276</v>
      </c>
      <c r="N30" s="3"/>
      <c r="O30" s="3" t="s">
        <v>33</v>
      </c>
    </row>
    <row r="31" spans="1:15" ht="20.25" thickBot="1">
      <c r="A31" s="45"/>
      <c r="B31" s="17">
        <v>46142</v>
      </c>
      <c r="C31" s="6">
        <v>1.0605</v>
      </c>
      <c r="D31" s="27">
        <v>0.80883256010000004</v>
      </c>
      <c r="E31" s="4">
        <f>SUM($C$2:C31)/COUNT($C$2:C31)</f>
        <v>0.80882666666666669</v>
      </c>
      <c r="F31" s="3"/>
      <c r="G31" s="65">
        <v>382</v>
      </c>
      <c r="H31" s="72">
        <v>785.01999999999987</v>
      </c>
      <c r="I31" s="73">
        <v>16</v>
      </c>
      <c r="J31" s="72">
        <v>439.38000000000005</v>
      </c>
      <c r="K31" s="73">
        <v>12</v>
      </c>
      <c r="L31" s="11">
        <v>336</v>
      </c>
      <c r="N31" s="3"/>
      <c r="O31" s="3" t="s">
        <v>33</v>
      </c>
    </row>
    <row r="32" spans="1:15" ht="20.25" thickBot="1">
      <c r="A32" s="46" t="s">
        <v>9</v>
      </c>
      <c r="B32" s="17">
        <v>46143</v>
      </c>
      <c r="C32" s="6">
        <v>0.9446</v>
      </c>
      <c r="D32" s="26">
        <v>0.94457746359999994</v>
      </c>
      <c r="E32" s="4">
        <f>SUM($C$2:C32)/COUNT($C$2:C32)</f>
        <v>0.81320645161290328</v>
      </c>
      <c r="F32" s="3"/>
      <c r="G32" s="65">
        <v>430</v>
      </c>
      <c r="H32" s="74">
        <v>0</v>
      </c>
      <c r="I32" s="75">
        <v>0</v>
      </c>
      <c r="J32" s="74">
        <v>0</v>
      </c>
      <c r="K32" s="75">
        <v>0</v>
      </c>
      <c r="L32" s="11">
        <v>370</v>
      </c>
      <c r="N32" s="3"/>
      <c r="O32" s="3" t="s">
        <v>33</v>
      </c>
    </row>
    <row r="33" spans="1:15" ht="20.25" thickBot="1">
      <c r="A33" s="44"/>
      <c r="B33" s="17">
        <v>46144</v>
      </c>
      <c r="C33" s="6">
        <v>1.1037999999999999</v>
      </c>
      <c r="D33" s="27">
        <v>1.024178816</v>
      </c>
      <c r="E33" s="4">
        <f>SUM($C$2:C33)/COUNT($C$2:C33)</f>
        <v>0.82228750000000006</v>
      </c>
      <c r="F33" s="3"/>
      <c r="G33" s="65">
        <v>339</v>
      </c>
      <c r="H33" s="72">
        <v>1000.14</v>
      </c>
      <c r="I33" s="73">
        <v>17</v>
      </c>
      <c r="J33" s="72">
        <v>1040.6200000000001</v>
      </c>
      <c r="K33" s="73">
        <v>28</v>
      </c>
      <c r="L33" s="11">
        <v>186</v>
      </c>
      <c r="N33" s="3"/>
      <c r="O33" s="3" t="s">
        <v>33</v>
      </c>
    </row>
    <row r="34" spans="1:15" ht="20.25" thickBot="1">
      <c r="A34" s="44"/>
      <c r="B34" s="17">
        <v>46145</v>
      </c>
      <c r="C34" s="6">
        <v>1.0683</v>
      </c>
      <c r="D34" s="27">
        <v>1.0388824539999999</v>
      </c>
      <c r="E34" s="4">
        <f>SUM($C$2:C34)/COUNT($C$2:C34)</f>
        <v>0.82974242424242428</v>
      </c>
      <c r="F34" s="3"/>
      <c r="G34" s="65">
        <v>350</v>
      </c>
      <c r="H34" s="72">
        <v>0</v>
      </c>
      <c r="I34" s="73">
        <v>0</v>
      </c>
      <c r="J34" s="72">
        <v>0</v>
      </c>
      <c r="K34" s="73">
        <v>0</v>
      </c>
      <c r="L34" s="11">
        <v>277</v>
      </c>
      <c r="N34" s="3"/>
      <c r="O34" s="3" t="s">
        <v>33</v>
      </c>
    </row>
    <row r="35" spans="1:15" ht="20.25" thickBot="1">
      <c r="A35" s="44"/>
      <c r="B35" s="17">
        <v>46146</v>
      </c>
      <c r="C35" s="6">
        <v>1.0348999999999999</v>
      </c>
      <c r="D35" s="27">
        <v>1.0378752609999999</v>
      </c>
      <c r="E35" s="4">
        <f>SUM($C$2:C35)/COUNT($C$2:C35)</f>
        <v>0.83577647058823534</v>
      </c>
      <c r="F35" s="3"/>
      <c r="G35" s="65">
        <v>380</v>
      </c>
      <c r="H35" s="72">
        <v>966.62800000000004</v>
      </c>
      <c r="I35" s="73">
        <v>17</v>
      </c>
      <c r="J35" s="72">
        <v>516.03000000000009</v>
      </c>
      <c r="K35" s="73">
        <v>14</v>
      </c>
      <c r="L35" s="11">
        <v>283</v>
      </c>
      <c r="M35" s="13">
        <v>10</v>
      </c>
      <c r="N35" s="3"/>
      <c r="O35" s="3" t="s">
        <v>33</v>
      </c>
    </row>
    <row r="36" spans="1:15" ht="20.25" thickBot="1">
      <c r="A36" s="44"/>
      <c r="B36" s="17">
        <v>46147</v>
      </c>
      <c r="C36" s="6">
        <v>0.98950000000000005</v>
      </c>
      <c r="D36" s="27">
        <v>1.028190538</v>
      </c>
      <c r="E36" s="4">
        <f>SUM($C$2:C36)/COUNT($C$2:C36)</f>
        <v>0.84016857142857149</v>
      </c>
      <c r="F36" s="3"/>
      <c r="G36" s="65">
        <v>386</v>
      </c>
      <c r="H36" s="72">
        <v>304.95</v>
      </c>
      <c r="I36" s="73">
        <v>6</v>
      </c>
      <c r="J36" s="72">
        <v>118.07999999999998</v>
      </c>
      <c r="K36" s="73">
        <v>3</v>
      </c>
      <c r="L36" s="11">
        <v>150</v>
      </c>
      <c r="M36" s="14">
        <v>5</v>
      </c>
      <c r="N36" s="3"/>
      <c r="O36" s="3" t="s">
        <v>33</v>
      </c>
    </row>
    <row r="37" spans="1:15" ht="20.25" thickBot="1">
      <c r="A37" s="44"/>
      <c r="B37" s="17">
        <v>46148</v>
      </c>
      <c r="C37" s="6">
        <v>0.6452</v>
      </c>
      <c r="D37" s="27">
        <v>0.96435162100000005</v>
      </c>
      <c r="E37" s="4">
        <f>SUM($C$2:C37)/COUNT($C$2:C37)</f>
        <v>0.83475277777777779</v>
      </c>
      <c r="F37" s="3"/>
      <c r="G37" s="65">
        <v>439</v>
      </c>
      <c r="H37" s="72">
        <v>831.27</v>
      </c>
      <c r="I37" s="73">
        <v>15</v>
      </c>
      <c r="J37" s="72">
        <v>258.31</v>
      </c>
      <c r="K37" s="73">
        <v>7</v>
      </c>
      <c r="L37" s="11">
        <v>520</v>
      </c>
      <c r="M37" s="14">
        <v>14</v>
      </c>
      <c r="N37" s="3"/>
      <c r="O37" s="3" t="s">
        <v>33</v>
      </c>
    </row>
    <row r="38" spans="1:15" ht="20.25" thickBot="1">
      <c r="A38" s="44"/>
      <c r="B38" s="17">
        <v>46149</v>
      </c>
      <c r="C38" s="6">
        <v>0.62909999999999999</v>
      </c>
      <c r="D38" s="27">
        <v>0.91645855639999996</v>
      </c>
      <c r="E38" s="4">
        <f>SUM($C$2:C38)/COUNT($C$2:C38)</f>
        <v>0.82919459459459466</v>
      </c>
      <c r="F38" s="3"/>
      <c r="G38" s="65">
        <v>507</v>
      </c>
      <c r="H38" s="72">
        <v>571.77</v>
      </c>
      <c r="I38" s="73">
        <v>10</v>
      </c>
      <c r="J38" s="72">
        <v>40.049999999999997</v>
      </c>
      <c r="K38" s="73">
        <v>1</v>
      </c>
      <c r="L38" s="11">
        <v>224</v>
      </c>
      <c r="M38" s="14">
        <v>8</v>
      </c>
      <c r="N38" s="3"/>
      <c r="O38" s="3" t="s">
        <v>33</v>
      </c>
    </row>
    <row r="39" spans="1:15" ht="20.25" thickBot="1">
      <c r="A39" s="44"/>
      <c r="B39" s="17">
        <v>46150</v>
      </c>
      <c r="C39" s="6">
        <v>0.45200000000000001</v>
      </c>
      <c r="D39" s="27">
        <v>0.85839955670000001</v>
      </c>
      <c r="E39" s="4">
        <f>SUM($C$2:C39)/COUNT($C$2:C39)</f>
        <v>0.81926842105263165</v>
      </c>
      <c r="F39" s="3"/>
      <c r="G39" s="65">
        <v>289</v>
      </c>
      <c r="H39" s="72">
        <v>733.83</v>
      </c>
      <c r="I39" s="73">
        <v>14</v>
      </c>
      <c r="J39" s="72">
        <v>265.71000000000004</v>
      </c>
      <c r="K39" s="73">
        <v>7</v>
      </c>
      <c r="L39" s="11">
        <v>143</v>
      </c>
      <c r="M39" s="14">
        <v>6</v>
      </c>
      <c r="N39" s="3"/>
      <c r="O39" s="3" t="s">
        <v>33</v>
      </c>
    </row>
    <row r="40" spans="1:15" ht="20.25" thickBot="1">
      <c r="A40" s="44"/>
      <c r="B40" s="17">
        <v>46151</v>
      </c>
      <c r="C40" s="6">
        <v>0.49919999999999998</v>
      </c>
      <c r="D40" s="27">
        <v>0.81848450240000004</v>
      </c>
      <c r="E40" s="4">
        <f>SUM($C$2:C40)/COUNT($C$2:C40)</f>
        <v>0.8110615384615385</v>
      </c>
      <c r="F40" s="3"/>
      <c r="G40" s="65">
        <v>145</v>
      </c>
      <c r="H40" s="72">
        <v>824.2299999999999</v>
      </c>
      <c r="I40" s="73">
        <v>18</v>
      </c>
      <c r="J40" s="72">
        <v>519.4</v>
      </c>
      <c r="K40" s="73">
        <v>14</v>
      </c>
      <c r="L40" s="11">
        <v>240</v>
      </c>
      <c r="M40" s="14">
        <v>7</v>
      </c>
      <c r="N40" s="3"/>
      <c r="O40" s="3" t="s">
        <v>33</v>
      </c>
    </row>
    <row r="41" spans="1:15" ht="20.25" thickBot="1">
      <c r="A41" s="44"/>
      <c r="B41" s="17">
        <v>46152</v>
      </c>
      <c r="C41" s="6">
        <v>0.64480000000000004</v>
      </c>
      <c r="D41" s="27">
        <v>0.80111234630000006</v>
      </c>
      <c r="E41" s="4">
        <f>SUM($C$2:C41)/COUNT($C$2:C41)</f>
        <v>0.80690500000000009</v>
      </c>
      <c r="F41" s="3"/>
      <c r="G41" s="65">
        <v>336</v>
      </c>
      <c r="H41" s="72">
        <v>0</v>
      </c>
      <c r="I41" s="73">
        <v>0</v>
      </c>
      <c r="J41" s="72">
        <v>0</v>
      </c>
      <c r="K41" s="73">
        <v>0</v>
      </c>
      <c r="L41" s="11">
        <v>0</v>
      </c>
      <c r="M41" s="14">
        <v>0</v>
      </c>
      <c r="N41" s="3"/>
      <c r="O41" s="3" t="s">
        <v>33</v>
      </c>
    </row>
    <row r="42" spans="1:15" ht="20.25" thickBot="1">
      <c r="A42" s="44"/>
      <c r="B42" s="17">
        <v>46153</v>
      </c>
      <c r="C42" s="6">
        <v>0.6351</v>
      </c>
      <c r="D42" s="27">
        <v>0.78602114310000004</v>
      </c>
      <c r="E42" s="4">
        <f>SUM($C$2:C42)/COUNT($C$2:C42)</f>
        <v>0.80271463414634159</v>
      </c>
      <c r="F42" s="3"/>
      <c r="G42" s="65">
        <v>145</v>
      </c>
      <c r="H42" s="72">
        <v>1375.44</v>
      </c>
      <c r="I42" s="73">
        <v>26</v>
      </c>
      <c r="J42" s="72">
        <v>375.09</v>
      </c>
      <c r="K42" s="73">
        <v>10</v>
      </c>
      <c r="L42" s="11">
        <v>330</v>
      </c>
      <c r="M42" s="14">
        <v>10</v>
      </c>
      <c r="N42" s="3"/>
      <c r="O42" s="3" t="s">
        <v>33</v>
      </c>
    </row>
    <row r="43" spans="1:15" ht="20.25" thickBot="1">
      <c r="A43" s="44"/>
      <c r="B43" s="17">
        <v>46154</v>
      </c>
      <c r="C43" s="6">
        <v>0.62719999999999998</v>
      </c>
      <c r="D43" s="27">
        <v>0.77278460360000001</v>
      </c>
      <c r="E43" s="4">
        <f>SUM($C$2:C43)/COUNT($C$2:C43)</f>
        <v>0.79853571428571446</v>
      </c>
      <c r="F43" s="3"/>
      <c r="G43" s="65">
        <v>221</v>
      </c>
      <c r="H43" s="72">
        <v>1273.5799999999997</v>
      </c>
      <c r="I43" s="73">
        <v>23</v>
      </c>
      <c r="J43" s="72">
        <v>118.45</v>
      </c>
      <c r="K43" s="73">
        <v>3</v>
      </c>
      <c r="L43" s="11">
        <v>254</v>
      </c>
      <c r="M43" s="14">
        <v>10</v>
      </c>
      <c r="N43" s="3"/>
      <c r="O43" s="3" t="s">
        <v>33</v>
      </c>
    </row>
    <row r="44" spans="1:15" ht="20.25" thickBot="1">
      <c r="A44" s="44"/>
      <c r="B44" s="17">
        <v>46155</v>
      </c>
      <c r="C44" s="6">
        <v>0.60460000000000003</v>
      </c>
      <c r="D44" s="27">
        <v>0.75984733390000003</v>
      </c>
      <c r="E44" s="4">
        <f>SUM($C$2:C44)/COUNT($C$2:C44)</f>
        <v>0.79402558139534896</v>
      </c>
      <c r="F44" s="3"/>
      <c r="G44" s="65">
        <v>222</v>
      </c>
      <c r="H44" s="72">
        <v>671.12</v>
      </c>
      <c r="I44" s="73">
        <v>13</v>
      </c>
      <c r="J44" s="72">
        <v>272.61</v>
      </c>
      <c r="K44" s="73">
        <v>7</v>
      </c>
      <c r="L44" s="11">
        <v>209</v>
      </c>
      <c r="M44" s="14">
        <v>7</v>
      </c>
      <c r="N44" s="3"/>
      <c r="O44" s="3" t="s">
        <v>33</v>
      </c>
    </row>
    <row r="45" spans="1:15" ht="20.25" thickBot="1">
      <c r="A45" s="44"/>
      <c r="B45" s="17">
        <v>46156</v>
      </c>
      <c r="C45" s="6">
        <v>0.14849999999999999</v>
      </c>
      <c r="D45" s="27">
        <v>0.71617834520000001</v>
      </c>
      <c r="E45" s="4">
        <f>SUM($C$2:C45)/COUNT($C$2:C45)</f>
        <v>0.77935454545454552</v>
      </c>
      <c r="F45" s="3"/>
      <c r="G45" s="65">
        <v>268</v>
      </c>
      <c r="H45" s="72">
        <v>1082.98</v>
      </c>
      <c r="I45" s="73">
        <v>20</v>
      </c>
      <c r="J45" s="72">
        <v>410.82000000000005</v>
      </c>
      <c r="K45" s="73">
        <v>11</v>
      </c>
      <c r="L45" s="11">
        <v>133</v>
      </c>
      <c r="M45" s="14">
        <v>4</v>
      </c>
      <c r="N45" s="3"/>
      <c r="O45" s="3" t="s">
        <v>33</v>
      </c>
    </row>
    <row r="46" spans="1:15" ht="20.25" thickBot="1">
      <c r="A46" s="44"/>
      <c r="B46" s="17">
        <v>46157</v>
      </c>
      <c r="C46" s="6">
        <v>0.41739999999999999</v>
      </c>
      <c r="D46" s="27">
        <v>0.69625870879999996</v>
      </c>
      <c r="E46" s="4">
        <f>SUM($C$2:C46)/COUNT($C$2:C46)</f>
        <v>0.77131111111111117</v>
      </c>
      <c r="F46" s="3"/>
      <c r="G46" s="65">
        <v>58</v>
      </c>
      <c r="H46" s="72">
        <v>698.70999999999992</v>
      </c>
      <c r="I46" s="73">
        <v>14</v>
      </c>
      <c r="J46" s="72">
        <v>0</v>
      </c>
      <c r="K46" s="73">
        <v>0</v>
      </c>
      <c r="L46" s="11">
        <v>0</v>
      </c>
      <c r="M46" s="14">
        <v>0</v>
      </c>
      <c r="N46" s="3"/>
      <c r="O46" s="3" t="s">
        <v>33</v>
      </c>
    </row>
    <row r="47" spans="1:15" ht="20.25" thickBot="1">
      <c r="A47" s="44"/>
      <c r="B47" s="17">
        <v>46158</v>
      </c>
      <c r="C47" s="6">
        <v>0.79800000000000004</v>
      </c>
      <c r="D47" s="27">
        <v>0.70261570139999996</v>
      </c>
      <c r="E47" s="4">
        <f>SUM($C$2:C47)/COUNT($C$2:C47)</f>
        <v>0.77189130434782616</v>
      </c>
      <c r="F47" s="3"/>
      <c r="G47" s="65">
        <v>58</v>
      </c>
      <c r="H47" s="72">
        <v>957.06999999999994</v>
      </c>
      <c r="I47" s="73">
        <v>17</v>
      </c>
      <c r="J47" s="72">
        <v>548.46999999999991</v>
      </c>
      <c r="K47" s="73">
        <v>15</v>
      </c>
      <c r="L47" s="11">
        <v>47</v>
      </c>
      <c r="M47" s="14">
        <v>2</v>
      </c>
      <c r="N47" s="3"/>
      <c r="O47" s="3" t="s">
        <v>33</v>
      </c>
    </row>
    <row r="48" spans="1:15" ht="20.25" thickBot="1">
      <c r="A48" s="44"/>
      <c r="B48" s="17">
        <v>46159</v>
      </c>
      <c r="C48" s="6">
        <v>0.41110000000000002</v>
      </c>
      <c r="D48" s="27">
        <v>0.68546922669999999</v>
      </c>
      <c r="E48" s="4">
        <f>SUM($C$2:C48)/COUNT($C$2:C48)</f>
        <v>0.76421489361702133</v>
      </c>
      <c r="F48" s="3"/>
      <c r="G48" s="65">
        <v>251</v>
      </c>
      <c r="H48" s="72">
        <v>0</v>
      </c>
      <c r="I48" s="73">
        <v>0</v>
      </c>
      <c r="J48" s="72">
        <v>0</v>
      </c>
      <c r="K48" s="73">
        <v>0</v>
      </c>
      <c r="L48" s="11">
        <v>220</v>
      </c>
      <c r="M48" s="14">
        <v>8</v>
      </c>
      <c r="N48" s="3"/>
      <c r="O48" s="3" t="s">
        <v>33</v>
      </c>
    </row>
    <row r="49" spans="1:15" ht="20.25" thickBot="1">
      <c r="A49" s="44"/>
      <c r="B49" s="17">
        <v>46160</v>
      </c>
      <c r="C49" s="6">
        <v>0.85350000000000004</v>
      </c>
      <c r="D49" s="27">
        <v>0.69480243429999999</v>
      </c>
      <c r="E49" s="4">
        <f>SUM($C$2:C49)/COUNT($C$2:C49)</f>
        <v>0.76607499999999995</v>
      </c>
      <c r="F49" s="3"/>
      <c r="G49" s="65">
        <v>401</v>
      </c>
      <c r="H49" s="72">
        <v>1408.9300000000003</v>
      </c>
      <c r="I49" s="73">
        <v>26</v>
      </c>
      <c r="J49" s="72">
        <v>270.29000000000002</v>
      </c>
      <c r="K49" s="73">
        <v>8</v>
      </c>
      <c r="L49" s="11">
        <v>429</v>
      </c>
      <c r="M49" s="14">
        <v>13</v>
      </c>
      <c r="N49" s="3"/>
      <c r="O49" s="3" t="s">
        <v>33</v>
      </c>
    </row>
    <row r="50" spans="1:15" ht="20.25" thickBot="1">
      <c r="A50" s="44"/>
      <c r="B50" s="17">
        <v>46161</v>
      </c>
      <c r="C50" s="6">
        <v>0.67879999999999996</v>
      </c>
      <c r="D50" s="27">
        <v>0.69395780330000001</v>
      </c>
      <c r="E50" s="4">
        <f>SUM($C$2:C50)/COUNT($C$2:C50)</f>
        <v>0.76429387755102041</v>
      </c>
      <c r="F50" s="3"/>
      <c r="G50" s="65">
        <v>268</v>
      </c>
      <c r="H50" s="72">
        <v>685.76</v>
      </c>
      <c r="I50" s="73">
        <v>17</v>
      </c>
      <c r="J50" s="72">
        <v>274.07</v>
      </c>
      <c r="K50" s="73">
        <v>7</v>
      </c>
      <c r="L50" s="11">
        <v>129</v>
      </c>
      <c r="M50" s="14">
        <v>4</v>
      </c>
      <c r="N50" s="3"/>
      <c r="O50" s="3" t="s">
        <v>33</v>
      </c>
    </row>
    <row r="51" spans="1:15" ht="20.25" thickBot="1">
      <c r="A51" s="44"/>
      <c r="B51" s="17">
        <v>46162</v>
      </c>
      <c r="C51" s="6">
        <v>0.66510000000000002</v>
      </c>
      <c r="D51" s="27">
        <v>0.69251432550000003</v>
      </c>
      <c r="E51" s="4">
        <f>SUM($C$2:C51)/COUNT($C$2:C51)</f>
        <v>0.76231000000000004</v>
      </c>
      <c r="F51" s="3"/>
      <c r="G51" s="65">
        <v>180</v>
      </c>
      <c r="H51" s="72">
        <v>389.38</v>
      </c>
      <c r="I51" s="73">
        <v>7</v>
      </c>
      <c r="J51" s="72">
        <v>303.55</v>
      </c>
      <c r="K51" s="73">
        <v>8</v>
      </c>
      <c r="L51" s="11">
        <v>246</v>
      </c>
      <c r="M51" s="14">
        <v>6</v>
      </c>
      <c r="N51" s="3"/>
      <c r="O51" s="3" t="s">
        <v>33</v>
      </c>
    </row>
    <row r="52" spans="1:15" ht="20.25" thickBot="1">
      <c r="A52" s="44"/>
      <c r="B52" s="17">
        <v>46163</v>
      </c>
      <c r="C52" s="6">
        <v>0.65190000000000003</v>
      </c>
      <c r="D52" s="27">
        <v>0.69058225299999998</v>
      </c>
      <c r="E52" s="4">
        <f>SUM($C$2:C52)/COUNT($C$2:C52)</f>
        <v>0.76014509803921571</v>
      </c>
      <c r="F52" s="3"/>
      <c r="G52" s="65">
        <v>264</v>
      </c>
      <c r="H52" s="72">
        <v>627.43999999999994</v>
      </c>
      <c r="I52" s="73">
        <v>13</v>
      </c>
      <c r="J52" s="72">
        <v>476.14000000000004</v>
      </c>
      <c r="K52" s="73">
        <v>13</v>
      </c>
      <c r="L52" s="11">
        <v>187</v>
      </c>
      <c r="M52" s="14">
        <v>8</v>
      </c>
      <c r="N52" s="3"/>
      <c r="O52" s="3" t="s">
        <v>33</v>
      </c>
    </row>
    <row r="53" spans="1:15" ht="20.25" thickBot="1">
      <c r="A53" s="44"/>
      <c r="B53" s="17">
        <v>46164</v>
      </c>
      <c r="C53" s="6">
        <v>0.64470000000000005</v>
      </c>
      <c r="D53" s="27">
        <v>0.6884988245</v>
      </c>
      <c r="E53" s="4">
        <f>SUM($C$2:C53)/COUNT($C$2:C53)</f>
        <v>0.75792500000000007</v>
      </c>
      <c r="F53" s="3"/>
      <c r="G53" s="65">
        <v>315</v>
      </c>
      <c r="H53" s="72">
        <v>670.94999999999993</v>
      </c>
      <c r="I53" s="73">
        <v>15</v>
      </c>
      <c r="J53" s="72">
        <v>296.63</v>
      </c>
      <c r="K53" s="73">
        <v>8</v>
      </c>
      <c r="L53" s="11">
        <v>267</v>
      </c>
      <c r="M53" s="14">
        <v>9</v>
      </c>
      <c r="N53" s="3"/>
      <c r="O53" s="3" t="s">
        <v>33</v>
      </c>
    </row>
    <row r="54" spans="1:15" ht="20.25" thickBot="1">
      <c r="A54" s="44"/>
      <c r="B54" s="17">
        <v>46165</v>
      </c>
      <c r="C54" s="6">
        <v>0.69620000000000004</v>
      </c>
      <c r="D54" s="27">
        <v>0.68883485249999998</v>
      </c>
      <c r="E54" s="4">
        <f>SUM($C$2:C54)/COUNT($C$2:C54)</f>
        <v>0.75676037735849055</v>
      </c>
      <c r="F54" s="3"/>
      <c r="G54" s="65">
        <v>220</v>
      </c>
      <c r="H54" s="72">
        <v>258.56</v>
      </c>
      <c r="I54" s="73">
        <v>5</v>
      </c>
      <c r="J54" s="72">
        <v>152.18</v>
      </c>
      <c r="K54" s="73">
        <v>4</v>
      </c>
      <c r="L54" s="11">
        <v>326</v>
      </c>
      <c r="M54" s="14">
        <v>9</v>
      </c>
      <c r="N54" s="3"/>
      <c r="O54" s="3" t="s">
        <v>34</v>
      </c>
    </row>
    <row r="55" spans="1:15" ht="20.25" thickBot="1">
      <c r="A55" s="44"/>
      <c r="B55" s="17">
        <v>46166</v>
      </c>
      <c r="C55" s="6">
        <v>0.57340000000000002</v>
      </c>
      <c r="D55" s="27">
        <v>0.68402414479999996</v>
      </c>
      <c r="E55" s="4">
        <f>SUM($C$2:C55)/COUNT($C$2:C55)</f>
        <v>0.75336481481481476</v>
      </c>
      <c r="F55" s="3"/>
      <c r="G55" s="65">
        <v>360</v>
      </c>
      <c r="H55" s="72">
        <v>177.04</v>
      </c>
      <c r="I55" s="73">
        <v>5</v>
      </c>
      <c r="J55" s="72">
        <v>0</v>
      </c>
      <c r="K55" s="73">
        <v>0</v>
      </c>
      <c r="L55" s="11">
        <v>323</v>
      </c>
      <c r="M55" s="14">
        <v>9</v>
      </c>
      <c r="N55" s="10">
        <v>12</v>
      </c>
      <c r="O55" s="3" t="s">
        <v>33</v>
      </c>
    </row>
    <row r="56" spans="1:15" ht="20.25" thickBot="1">
      <c r="A56" s="44"/>
      <c r="B56" s="17">
        <v>46167</v>
      </c>
      <c r="C56" s="6">
        <v>0.59860000000000002</v>
      </c>
      <c r="D56" s="27">
        <v>0.68060868109999995</v>
      </c>
      <c r="E56" s="4">
        <f>SUM($C$2:C56)/COUNT($C$2:C56)</f>
        <v>0.75055090909090905</v>
      </c>
      <c r="F56" s="3"/>
      <c r="G56" s="65">
        <v>175</v>
      </c>
      <c r="H56" s="72">
        <v>705.33</v>
      </c>
      <c r="I56" s="73">
        <v>15</v>
      </c>
      <c r="J56" s="72">
        <v>0</v>
      </c>
      <c r="K56" s="73">
        <v>0</v>
      </c>
      <c r="L56" s="11">
        <v>219</v>
      </c>
      <c r="M56" s="14">
        <v>9</v>
      </c>
      <c r="N56" s="11">
        <v>7</v>
      </c>
      <c r="O56" s="3" t="s">
        <v>33</v>
      </c>
    </row>
    <row r="57" spans="1:15" ht="20.25" thickBot="1">
      <c r="A57" s="44"/>
      <c r="B57" s="17">
        <v>46168</v>
      </c>
      <c r="C57" s="6">
        <v>0.6552</v>
      </c>
      <c r="D57" s="27">
        <v>0.67963073240000005</v>
      </c>
      <c r="E57" s="4">
        <f>SUM($C$2:C57)/COUNT($C$2:C57)</f>
        <v>0.74884821428571424</v>
      </c>
      <c r="F57" s="3"/>
      <c r="G57" s="65">
        <v>336</v>
      </c>
      <c r="H57" s="72">
        <v>253.20000000000002</v>
      </c>
      <c r="I57" s="73">
        <v>5</v>
      </c>
      <c r="J57" s="72">
        <v>116.44999999999999</v>
      </c>
      <c r="K57" s="73">
        <v>3</v>
      </c>
      <c r="L57" s="11">
        <v>68</v>
      </c>
      <c r="M57" s="14">
        <v>4</v>
      </c>
      <c r="N57" s="11">
        <v>13</v>
      </c>
      <c r="O57" s="3" t="s">
        <v>33</v>
      </c>
    </row>
    <row r="58" spans="1:15" ht="20.25" thickBot="1">
      <c r="A58" s="44"/>
      <c r="B58" s="17">
        <v>46169</v>
      </c>
      <c r="C58" s="6">
        <v>0.53849999999999998</v>
      </c>
      <c r="D58" s="27">
        <v>0.67440405550000004</v>
      </c>
      <c r="E58" s="4">
        <f>SUM($C$2:C58)/COUNT($C$2:C58)</f>
        <v>0.74515789473684202</v>
      </c>
      <c r="F58" s="3"/>
      <c r="G58" s="65">
        <v>137</v>
      </c>
      <c r="H58" s="72">
        <v>634.55999999999995</v>
      </c>
      <c r="I58" s="73">
        <v>11</v>
      </c>
      <c r="J58" s="72">
        <v>525.62</v>
      </c>
      <c r="K58" s="73">
        <v>15</v>
      </c>
      <c r="L58" s="11">
        <v>542</v>
      </c>
      <c r="M58" s="14">
        <v>15</v>
      </c>
      <c r="N58" s="11">
        <v>8</v>
      </c>
      <c r="O58" s="3" t="s">
        <v>33</v>
      </c>
    </row>
    <row r="59" spans="1:15" ht="20.25" thickBot="1">
      <c r="A59" s="44"/>
      <c r="B59" s="17">
        <v>46170</v>
      </c>
      <c r="C59" s="6">
        <v>0.60609999999999997</v>
      </c>
      <c r="D59" s="27">
        <v>0.67196419590000001</v>
      </c>
      <c r="E59" s="4">
        <f>SUM($C$2:C59)/COUNT($C$2:C59)</f>
        <v>0.74276034482758613</v>
      </c>
      <c r="F59" s="3"/>
      <c r="G59" s="65">
        <v>268</v>
      </c>
      <c r="H59" s="72">
        <v>539.46</v>
      </c>
      <c r="I59" s="73">
        <v>11</v>
      </c>
      <c r="J59" s="72">
        <v>460.49</v>
      </c>
      <c r="K59" s="73">
        <v>12</v>
      </c>
      <c r="L59" s="11">
        <v>126</v>
      </c>
      <c r="M59" s="14">
        <v>5</v>
      </c>
      <c r="N59" s="11">
        <v>7</v>
      </c>
      <c r="O59" s="3" t="s">
        <v>33</v>
      </c>
    </row>
    <row r="60" spans="1:15" ht="20.25" thickBot="1">
      <c r="A60" s="44"/>
      <c r="B60" s="17">
        <v>46171</v>
      </c>
      <c r="C60" s="6">
        <v>0.6472</v>
      </c>
      <c r="D60" s="27">
        <v>0.67111002679999998</v>
      </c>
      <c r="E60" s="4">
        <f>SUM($C$2:C60)/COUNT($C$2:C60)</f>
        <v>0.74114067796610161</v>
      </c>
      <c r="F60" s="3"/>
      <c r="G60" s="65">
        <v>173</v>
      </c>
      <c r="H60" s="72">
        <v>378.84000000000003</v>
      </c>
      <c r="I60" s="73">
        <v>8</v>
      </c>
      <c r="J60" s="72">
        <v>0</v>
      </c>
      <c r="K60" s="73">
        <v>0</v>
      </c>
      <c r="L60" s="11">
        <v>258</v>
      </c>
      <c r="M60" s="14">
        <v>6</v>
      </c>
      <c r="N60" s="11">
        <v>4</v>
      </c>
      <c r="O60" s="3" t="s">
        <v>33</v>
      </c>
    </row>
    <row r="61" spans="1:15" ht="20.25" thickBot="1">
      <c r="A61" s="44"/>
      <c r="B61" s="17">
        <v>46172</v>
      </c>
      <c r="C61" s="6">
        <v>0.64939999999999998</v>
      </c>
      <c r="D61" s="27">
        <v>0.67038522850000004</v>
      </c>
      <c r="E61" s="4">
        <f>SUM($C$2:C61)/COUNT($C$2:C61)</f>
        <v>0.73961166666666656</v>
      </c>
      <c r="F61" s="3"/>
      <c r="G61" s="65">
        <v>106</v>
      </c>
      <c r="H61" s="72">
        <v>233.35000000000002</v>
      </c>
      <c r="I61" s="73">
        <v>5</v>
      </c>
      <c r="J61" s="72">
        <v>196.05</v>
      </c>
      <c r="K61" s="73">
        <v>5</v>
      </c>
      <c r="L61" s="11">
        <v>258</v>
      </c>
      <c r="M61" s="14">
        <v>8</v>
      </c>
      <c r="N61" s="11">
        <v>4</v>
      </c>
      <c r="O61" s="3" t="s">
        <v>33</v>
      </c>
    </row>
    <row r="62" spans="1:15" ht="20.25" thickBot="1">
      <c r="A62" s="47"/>
      <c r="B62" s="17">
        <v>46173</v>
      </c>
      <c r="C62" s="6">
        <v>0.62529999999999997</v>
      </c>
      <c r="D62" s="27">
        <v>0.66893188830000005</v>
      </c>
      <c r="E62" s="4">
        <f>SUM($C$2:C62)/COUNT($C$2:C62)</f>
        <v>0.7377377049180327</v>
      </c>
      <c r="F62" s="3"/>
      <c r="G62" s="65">
        <v>257</v>
      </c>
      <c r="H62" s="72">
        <v>0</v>
      </c>
      <c r="I62" s="73">
        <v>0</v>
      </c>
      <c r="J62" s="72">
        <v>0</v>
      </c>
      <c r="K62" s="73">
        <v>0</v>
      </c>
      <c r="L62" s="11">
        <v>477</v>
      </c>
      <c r="M62" s="14">
        <v>15</v>
      </c>
      <c r="N62" s="11">
        <v>6</v>
      </c>
      <c r="O62" s="3" t="s">
        <v>33</v>
      </c>
    </row>
    <row r="63" spans="1:15" ht="20.25" thickBot="1">
      <c r="A63" s="40" t="s">
        <v>10</v>
      </c>
      <c r="B63" s="17">
        <v>46174</v>
      </c>
      <c r="C63" s="6">
        <v>0.61250000000000004</v>
      </c>
      <c r="D63" s="26">
        <v>0.6125238059</v>
      </c>
      <c r="E63" s="4">
        <f>SUM($C$2:C63)/COUNT($C$2:C63)</f>
        <v>0.73571774193548378</v>
      </c>
      <c r="F63" s="3"/>
      <c r="G63" s="65">
        <v>215</v>
      </c>
      <c r="H63" s="74">
        <v>606.16999999999985</v>
      </c>
      <c r="I63" s="75">
        <v>13</v>
      </c>
      <c r="J63" s="74">
        <v>0</v>
      </c>
      <c r="K63" s="75">
        <v>0</v>
      </c>
      <c r="L63" s="11">
        <v>301</v>
      </c>
      <c r="M63" s="14">
        <v>9</v>
      </c>
      <c r="N63" s="11">
        <v>5</v>
      </c>
      <c r="O63" s="3" t="s">
        <v>33</v>
      </c>
    </row>
    <row r="64" spans="1:15" ht="20.25" thickBot="1">
      <c r="A64" s="41"/>
      <c r="B64" s="17">
        <v>46175</v>
      </c>
      <c r="C64" s="6">
        <v>0.59589999999999999</v>
      </c>
      <c r="D64" s="27">
        <v>0.60421479550000001</v>
      </c>
      <c r="E64" s="4">
        <f>SUM($C$2:C64)/COUNT($C$2:C64)</f>
        <v>0.73349841269841254</v>
      </c>
      <c r="F64" s="3"/>
      <c r="G64" s="65">
        <v>250</v>
      </c>
      <c r="H64" s="72">
        <v>416.22</v>
      </c>
      <c r="I64" s="73">
        <v>9</v>
      </c>
      <c r="J64" s="72">
        <v>40.520000000000003</v>
      </c>
      <c r="K64" s="73">
        <v>1</v>
      </c>
      <c r="L64" s="11">
        <v>261</v>
      </c>
      <c r="M64" s="14">
        <v>7</v>
      </c>
      <c r="N64" s="11">
        <v>6</v>
      </c>
      <c r="O64" s="3" t="s">
        <v>33</v>
      </c>
    </row>
    <row r="65" spans="1:15" ht="20.25" thickBot="1">
      <c r="A65" s="41"/>
      <c r="B65" s="17">
        <v>46176</v>
      </c>
      <c r="C65" s="6">
        <v>0.67069999999999996</v>
      </c>
      <c r="D65" s="27">
        <v>0.62639008299999999</v>
      </c>
      <c r="E65" s="4">
        <f>SUM($C$2:C65)/COUNT($C$2:C65)</f>
        <v>0.73251718749999983</v>
      </c>
      <c r="F65" s="3"/>
      <c r="G65" s="65">
        <v>136</v>
      </c>
      <c r="H65" s="72">
        <v>276.55</v>
      </c>
      <c r="I65" s="73">
        <v>6</v>
      </c>
      <c r="J65" s="72">
        <v>81.58</v>
      </c>
      <c r="K65" s="73">
        <v>2</v>
      </c>
      <c r="L65" s="11">
        <v>14</v>
      </c>
      <c r="M65" s="14">
        <v>1</v>
      </c>
      <c r="N65" s="11">
        <v>5</v>
      </c>
      <c r="O65" s="3" t="s">
        <v>33</v>
      </c>
    </row>
    <row r="66" spans="1:15" ht="20.25" thickBot="1">
      <c r="A66" s="41"/>
      <c r="B66" s="17">
        <v>46177</v>
      </c>
      <c r="C66" s="6">
        <v>0.70620000000000005</v>
      </c>
      <c r="D66" s="27">
        <v>0.64634128349999997</v>
      </c>
      <c r="E66" s="4">
        <f>SUM($C$2:C66)/COUNT($C$2:C66)</f>
        <v>0.73211230769230762</v>
      </c>
      <c r="F66" s="3"/>
      <c r="G66" s="65">
        <v>160</v>
      </c>
      <c r="H66" s="72">
        <v>426.46000000000004</v>
      </c>
      <c r="I66" s="73">
        <v>10</v>
      </c>
      <c r="J66" s="72">
        <v>78.25</v>
      </c>
      <c r="K66" s="73">
        <v>2</v>
      </c>
      <c r="L66" s="11">
        <v>392</v>
      </c>
      <c r="M66" s="14">
        <v>12</v>
      </c>
      <c r="N66" s="11">
        <v>5</v>
      </c>
      <c r="O66" s="3" t="s">
        <v>33</v>
      </c>
    </row>
    <row r="67" spans="1:15" ht="20.25" thickBot="1">
      <c r="A67" s="41"/>
      <c r="B67" s="17">
        <v>46178</v>
      </c>
      <c r="C67" s="6">
        <v>0.65069999999999995</v>
      </c>
      <c r="D67" s="27">
        <v>0.6472050989</v>
      </c>
      <c r="E67" s="4">
        <f>SUM($C$2:C67)/COUNT($C$2:C67)</f>
        <v>0.73087878787878779</v>
      </c>
      <c r="F67" s="3"/>
      <c r="G67" s="65">
        <v>291</v>
      </c>
      <c r="H67" s="72">
        <v>421.05</v>
      </c>
      <c r="I67" s="73">
        <v>8</v>
      </c>
      <c r="J67" s="72">
        <v>78.599999999999994</v>
      </c>
      <c r="K67" s="73">
        <v>2</v>
      </c>
      <c r="L67" s="11">
        <v>449</v>
      </c>
      <c r="M67" s="14">
        <v>11</v>
      </c>
      <c r="N67" s="11">
        <v>9</v>
      </c>
      <c r="O67" s="3" t="s">
        <v>33</v>
      </c>
    </row>
    <row r="68" spans="1:15" ht="20.25" thickBot="1">
      <c r="A68" s="41"/>
      <c r="B68" s="17">
        <v>46179</v>
      </c>
      <c r="C68" s="6">
        <v>0.64829999999999999</v>
      </c>
      <c r="D68" s="27">
        <v>0.64739281859999998</v>
      </c>
      <c r="E68" s="4">
        <f>SUM($C$2:C68)/COUNT($C$2:C68)</f>
        <v>0.72964626865671633</v>
      </c>
      <c r="F68" s="3"/>
      <c r="G68" s="65">
        <v>246</v>
      </c>
      <c r="H68" s="72">
        <v>339.09999999999997</v>
      </c>
      <c r="I68" s="73">
        <v>7</v>
      </c>
      <c r="J68" s="72">
        <v>288.55</v>
      </c>
      <c r="K68" s="73">
        <v>8</v>
      </c>
      <c r="L68" s="11">
        <v>172</v>
      </c>
      <c r="M68" s="14">
        <v>6</v>
      </c>
      <c r="N68" s="11">
        <v>7</v>
      </c>
      <c r="O68" s="3" t="s">
        <v>33</v>
      </c>
    </row>
    <row r="69" spans="1:15" ht="20.25" thickBot="1">
      <c r="A69" s="41"/>
      <c r="B69" s="17">
        <v>46180</v>
      </c>
      <c r="C69" s="6">
        <v>0.63829999999999998</v>
      </c>
      <c r="D69" s="27">
        <v>0.64609119280000005</v>
      </c>
      <c r="E69" s="4">
        <f>SUM($C$2:C69)/COUNT($C$2:C69)</f>
        <v>0.72830294117647043</v>
      </c>
      <c r="F69" s="3"/>
      <c r="G69" s="65">
        <v>155</v>
      </c>
      <c r="H69" s="72">
        <v>0</v>
      </c>
      <c r="I69" s="73">
        <v>0</v>
      </c>
      <c r="J69" s="72">
        <v>0</v>
      </c>
      <c r="K69" s="73">
        <v>0</v>
      </c>
      <c r="L69" s="11">
        <v>156</v>
      </c>
      <c r="M69" s="14">
        <v>6</v>
      </c>
      <c r="N69" s="11">
        <v>4</v>
      </c>
      <c r="O69" s="3" t="s">
        <v>33</v>
      </c>
    </row>
    <row r="70" spans="1:15" ht="20.25" thickBot="1">
      <c r="A70" s="41"/>
      <c r="B70" s="17">
        <v>46181</v>
      </c>
      <c r="C70" s="6">
        <v>0.62570000000000003</v>
      </c>
      <c r="D70" s="27">
        <v>0.64354720740000004</v>
      </c>
      <c r="E70" s="4">
        <f>SUM($C$2:C70)/COUNT($C$2:C70)</f>
        <v>0.72681594202898547</v>
      </c>
      <c r="G70" s="65">
        <v>236</v>
      </c>
      <c r="H70" s="72">
        <v>632.38000000000011</v>
      </c>
      <c r="I70" s="73">
        <v>13</v>
      </c>
      <c r="J70" s="72">
        <v>183.79000000000002</v>
      </c>
      <c r="K70" s="73">
        <v>5</v>
      </c>
      <c r="L70" s="11">
        <v>299</v>
      </c>
      <c r="M70" s="14">
        <v>8</v>
      </c>
      <c r="N70" s="11">
        <v>8</v>
      </c>
      <c r="O70" s="3" t="s">
        <v>33</v>
      </c>
    </row>
    <row r="71" spans="1:15" ht="20.25" thickBot="1">
      <c r="A71" s="41"/>
      <c r="B71" s="17">
        <v>46182</v>
      </c>
      <c r="C71" s="6">
        <v>0.62549999999999994</v>
      </c>
      <c r="D71" s="27">
        <v>0.64153809419999996</v>
      </c>
      <c r="E71" s="4">
        <f>SUM($C$2:C71)/COUNT($C$2:C71)</f>
        <v>0.72536857142857136</v>
      </c>
      <c r="G71" s="65">
        <v>276</v>
      </c>
      <c r="H71" s="72">
        <v>128.97</v>
      </c>
      <c r="I71" s="73">
        <v>3</v>
      </c>
      <c r="J71" s="72">
        <v>118.39999999999998</v>
      </c>
      <c r="K71" s="73">
        <v>3</v>
      </c>
      <c r="L71" s="11">
        <v>99</v>
      </c>
      <c r="M71" s="14">
        <v>3</v>
      </c>
      <c r="N71" s="11">
        <v>4</v>
      </c>
      <c r="O71" s="3" t="s">
        <v>33</v>
      </c>
    </row>
    <row r="72" spans="1:15" ht="20.25" thickBot="1">
      <c r="A72" s="41"/>
      <c r="B72" s="17">
        <v>46183</v>
      </c>
      <c r="C72" s="6">
        <v>0.64880000000000004</v>
      </c>
      <c r="D72" s="27">
        <v>0.64226278739999998</v>
      </c>
      <c r="E72" s="4">
        <f>SUM($C$2:C72)/COUNT($C$2:C72)</f>
        <v>0.72429014084507037</v>
      </c>
      <c r="G72" s="65">
        <v>217</v>
      </c>
      <c r="H72" s="72">
        <v>709.69999999999993</v>
      </c>
      <c r="I72" s="73">
        <v>14</v>
      </c>
      <c r="J72" s="72">
        <v>319.52</v>
      </c>
      <c r="K72" s="73">
        <v>9</v>
      </c>
      <c r="L72" s="11">
        <v>390</v>
      </c>
      <c r="M72" s="14">
        <v>12</v>
      </c>
      <c r="N72" s="11">
        <v>6</v>
      </c>
      <c r="O72" s="3" t="s">
        <v>33</v>
      </c>
    </row>
    <row r="73" spans="1:15" ht="20.25" thickBot="1">
      <c r="A73" s="41"/>
      <c r="B73" s="17">
        <v>46184</v>
      </c>
      <c r="C73" s="6">
        <v>0.72529999999999994</v>
      </c>
      <c r="D73" s="27">
        <v>0.64980745360000003</v>
      </c>
      <c r="E73" s="4">
        <f>SUM($C$2:C73)/COUNT($C$2:C73)</f>
        <v>0.72430416666666664</v>
      </c>
      <c r="G73" s="65">
        <v>208</v>
      </c>
      <c r="H73" s="72">
        <v>204.54</v>
      </c>
      <c r="I73" s="73">
        <v>5</v>
      </c>
      <c r="J73" s="72">
        <v>30.74</v>
      </c>
      <c r="K73" s="73">
        <v>1</v>
      </c>
      <c r="L73" s="11">
        <v>85</v>
      </c>
      <c r="M73" s="14">
        <v>3</v>
      </c>
      <c r="N73" s="11">
        <v>5</v>
      </c>
      <c r="O73" s="3" t="s">
        <v>33</v>
      </c>
    </row>
    <row r="74" spans="1:15" ht="20.25" thickBot="1">
      <c r="A74" s="41"/>
      <c r="B74" s="17">
        <v>46185</v>
      </c>
      <c r="C74" s="6">
        <v>0.62990000000000002</v>
      </c>
      <c r="D74" s="27">
        <v>0.64814736319999999</v>
      </c>
      <c r="E74" s="4">
        <f>SUM($C$2:C74)/COUNT($C$2:C74)</f>
        <v>0.72301095890410949</v>
      </c>
      <c r="G74" s="65">
        <v>208</v>
      </c>
      <c r="H74" s="72">
        <v>429.89</v>
      </c>
      <c r="I74" s="73">
        <v>9</v>
      </c>
      <c r="J74" s="72">
        <v>327.46000000000004</v>
      </c>
      <c r="K74" s="73">
        <v>9</v>
      </c>
      <c r="L74" s="11">
        <v>458</v>
      </c>
      <c r="M74" s="14">
        <v>13</v>
      </c>
      <c r="N74" s="11">
        <v>6</v>
      </c>
      <c r="O74" s="3" t="s">
        <v>33</v>
      </c>
    </row>
    <row r="75" spans="1:15" ht="20.25" thickBot="1">
      <c r="A75" s="41"/>
      <c r="B75" s="17">
        <v>46186</v>
      </c>
      <c r="C75" s="6">
        <v>0.69179999999999997</v>
      </c>
      <c r="D75" s="27">
        <v>0.65150888939999996</v>
      </c>
      <c r="E75" s="4">
        <f>SUM($C$2:C75)/COUNT($C$2:C75)</f>
        <v>0.72258918918918913</v>
      </c>
      <c r="G75" s="65">
        <v>142</v>
      </c>
      <c r="H75" s="72">
        <v>361.70000000000005</v>
      </c>
      <c r="I75" s="73">
        <v>8</v>
      </c>
      <c r="J75" s="72">
        <v>231.17</v>
      </c>
      <c r="K75" s="73">
        <v>6</v>
      </c>
      <c r="L75" s="11">
        <v>0</v>
      </c>
      <c r="M75" s="14">
        <v>0</v>
      </c>
      <c r="N75" s="11">
        <v>4</v>
      </c>
      <c r="O75" s="3" t="s">
        <v>33</v>
      </c>
    </row>
    <row r="76" spans="1:15" ht="20.25" thickBot="1">
      <c r="A76" s="41"/>
      <c r="B76" s="17">
        <v>46187</v>
      </c>
      <c r="C76" s="6">
        <v>0.66339999999999999</v>
      </c>
      <c r="D76" s="27">
        <v>0.65235945529999995</v>
      </c>
      <c r="E76" s="4">
        <f>SUM($C$2:C76)/COUNT($C$2:C76)</f>
        <v>0.7218</v>
      </c>
      <c r="G76" s="65">
        <v>253</v>
      </c>
      <c r="H76" s="72">
        <v>0</v>
      </c>
      <c r="I76" s="73">
        <v>0</v>
      </c>
      <c r="J76" s="72">
        <v>0</v>
      </c>
      <c r="K76" s="73">
        <v>0</v>
      </c>
      <c r="L76" s="11">
        <v>416</v>
      </c>
      <c r="M76" s="14">
        <v>12</v>
      </c>
      <c r="N76" s="11">
        <v>7</v>
      </c>
      <c r="O76" s="3" t="s">
        <v>33</v>
      </c>
    </row>
    <row r="77" spans="1:15" ht="20.25" thickBot="1">
      <c r="A77" s="41"/>
      <c r="B77" s="17">
        <v>46188</v>
      </c>
      <c r="C77" s="6">
        <v>0.91410000000000002</v>
      </c>
      <c r="D77" s="27">
        <v>0.66980575099999995</v>
      </c>
      <c r="E77" s="4">
        <f>SUM($C$2:C77)/COUNT($C$2:C77)</f>
        <v>0.72433026315789473</v>
      </c>
      <c r="G77" s="65">
        <v>205</v>
      </c>
      <c r="H77" s="72">
        <v>537.54</v>
      </c>
      <c r="I77" s="73">
        <v>13</v>
      </c>
      <c r="J77" s="72">
        <v>297.34999999999997</v>
      </c>
      <c r="K77" s="73">
        <v>8</v>
      </c>
      <c r="L77" s="11">
        <v>414</v>
      </c>
      <c r="M77" s="14">
        <v>14</v>
      </c>
      <c r="N77" s="11">
        <v>6</v>
      </c>
      <c r="O77" s="3" t="s">
        <v>33</v>
      </c>
    </row>
    <row r="78" spans="1:15" ht="20.25" thickBot="1">
      <c r="A78" s="41"/>
      <c r="B78" s="17">
        <v>46189</v>
      </c>
      <c r="C78" s="6">
        <v>0.8972</v>
      </c>
      <c r="D78" s="27">
        <v>0.68401650560000005</v>
      </c>
      <c r="E78" s="4">
        <f>SUM($C$2:C78)/COUNT($C$2:C78)</f>
        <v>0.7265753246753246</v>
      </c>
      <c r="G78" s="65">
        <v>279</v>
      </c>
      <c r="H78" s="72">
        <v>457.61000000000007</v>
      </c>
      <c r="I78" s="73">
        <v>9</v>
      </c>
      <c r="J78" s="72">
        <v>189.75</v>
      </c>
      <c r="K78" s="73">
        <v>5</v>
      </c>
      <c r="L78" s="11">
        <v>222</v>
      </c>
      <c r="M78" s="14">
        <v>8</v>
      </c>
      <c r="N78" s="11">
        <v>7</v>
      </c>
      <c r="O78" s="3" t="s">
        <v>33</v>
      </c>
    </row>
    <row r="79" spans="1:15" ht="20.25" thickBot="1">
      <c r="A79" s="41"/>
      <c r="B79" s="17">
        <v>46190</v>
      </c>
      <c r="C79" s="6">
        <v>0.85129999999999995</v>
      </c>
      <c r="D79" s="27">
        <v>0.69385654080000003</v>
      </c>
      <c r="E79" s="4">
        <f>SUM($C$2:C79)/COUNT($C$2:C79)</f>
        <v>0.72817435897435889</v>
      </c>
      <c r="G79" s="65">
        <v>115</v>
      </c>
      <c r="H79" s="72">
        <v>339.18</v>
      </c>
      <c r="I79" s="73">
        <v>7</v>
      </c>
      <c r="J79" s="72">
        <v>363</v>
      </c>
      <c r="K79" s="73">
        <v>10</v>
      </c>
      <c r="L79" s="11">
        <v>56</v>
      </c>
      <c r="M79" s="14">
        <v>2</v>
      </c>
      <c r="N79" s="11">
        <v>3</v>
      </c>
      <c r="O79" s="3" t="s">
        <v>33</v>
      </c>
    </row>
    <row r="80" spans="1:15" ht="20.25" thickBot="1">
      <c r="A80" s="41"/>
      <c r="B80" s="17">
        <v>46191</v>
      </c>
      <c r="C80" s="6">
        <v>0.82899999999999996</v>
      </c>
      <c r="D80" s="27">
        <v>0.70136640400000005</v>
      </c>
      <c r="E80" s="4">
        <f>SUM($C$2:C80)/COUNT($C$2:C80)</f>
        <v>0.72945063291139234</v>
      </c>
      <c r="G80" s="65">
        <v>209</v>
      </c>
      <c r="H80" s="72">
        <v>398.27</v>
      </c>
      <c r="I80" s="73">
        <v>10</v>
      </c>
      <c r="J80" s="72">
        <v>222.21</v>
      </c>
      <c r="K80" s="73">
        <v>6</v>
      </c>
      <c r="L80" s="11">
        <v>311</v>
      </c>
      <c r="M80" s="14">
        <v>9</v>
      </c>
      <c r="N80" s="11">
        <v>6</v>
      </c>
      <c r="O80" s="3" t="s">
        <v>33</v>
      </c>
    </row>
    <row r="81" spans="1:15" ht="20.25" thickBot="1">
      <c r="A81" s="41"/>
      <c r="B81" s="17">
        <v>46192</v>
      </c>
      <c r="C81" s="6">
        <v>0.89580000000000004</v>
      </c>
      <c r="D81" s="27">
        <v>0.71159996169999995</v>
      </c>
      <c r="E81" s="4">
        <f>SUM($C$2:C81)/COUNT($C$2:C81)</f>
        <v>0.73153000000000001</v>
      </c>
      <c r="G81" s="65">
        <v>218</v>
      </c>
      <c r="H81" s="72">
        <v>380.92999999999995</v>
      </c>
      <c r="I81" s="73">
        <v>9</v>
      </c>
      <c r="J81" s="72">
        <v>153.4</v>
      </c>
      <c r="K81" s="73">
        <v>4</v>
      </c>
      <c r="L81" s="11">
        <v>881</v>
      </c>
      <c r="M81" s="14">
        <v>24</v>
      </c>
      <c r="N81" s="11">
        <v>6</v>
      </c>
      <c r="O81" s="3" t="s">
        <v>33</v>
      </c>
    </row>
    <row r="82" spans="1:15" ht="20.25" thickBot="1">
      <c r="A82" s="41"/>
      <c r="B82" s="17">
        <v>46193</v>
      </c>
      <c r="C82" s="6">
        <v>0.83220000000000005</v>
      </c>
      <c r="D82" s="27">
        <v>0.71763145139999995</v>
      </c>
      <c r="E82" s="4">
        <f>SUM($C$2:C82)/COUNT($C$2:C82)</f>
        <v>0.73277283950617278</v>
      </c>
      <c r="G82" s="65">
        <v>220</v>
      </c>
      <c r="H82" s="72">
        <v>319.85000000000002</v>
      </c>
      <c r="I82" s="73">
        <v>6</v>
      </c>
      <c r="J82" s="72">
        <v>383.81</v>
      </c>
      <c r="K82" s="73">
        <v>10</v>
      </c>
      <c r="L82" s="11">
        <v>30</v>
      </c>
      <c r="M82" s="14">
        <v>1</v>
      </c>
      <c r="N82" s="11">
        <v>7</v>
      </c>
      <c r="O82" s="3" t="s">
        <v>33</v>
      </c>
    </row>
    <row r="83" spans="1:15" ht="20.25" thickBot="1">
      <c r="A83" s="41"/>
      <c r="B83" s="17">
        <v>46194</v>
      </c>
      <c r="C83" s="6">
        <v>1.5307999999999999</v>
      </c>
      <c r="D83" s="27">
        <v>0.75635598120000003</v>
      </c>
      <c r="E83" s="4">
        <f>SUM($C$2:C83)/COUNT($C$2:C83)</f>
        <v>0.7425048780487804</v>
      </c>
      <c r="G83" s="65">
        <v>120</v>
      </c>
      <c r="H83" s="72">
        <v>0</v>
      </c>
      <c r="I83" s="73">
        <v>0</v>
      </c>
      <c r="J83" s="72">
        <v>173.33</v>
      </c>
      <c r="K83" s="73">
        <v>5</v>
      </c>
      <c r="L83" s="11">
        <v>34</v>
      </c>
      <c r="M83" s="14">
        <v>1</v>
      </c>
      <c r="N83" s="11">
        <v>3</v>
      </c>
      <c r="O83" s="3" t="s">
        <v>33</v>
      </c>
    </row>
    <row r="84" spans="1:15" ht="20.25" thickBot="1">
      <c r="A84" s="41"/>
      <c r="B84" s="17">
        <v>46195</v>
      </c>
      <c r="C84" s="6">
        <v>0.94710000000000005</v>
      </c>
      <c r="D84" s="27">
        <v>0.76502625349999998</v>
      </c>
      <c r="E84" s="4">
        <f>SUM($C$2:C84)/COUNT($C$2:C84)</f>
        <v>0.74496987951807225</v>
      </c>
      <c r="G84" s="65">
        <v>232</v>
      </c>
      <c r="H84" s="72">
        <v>713.35</v>
      </c>
      <c r="I84" s="73">
        <v>15</v>
      </c>
      <c r="J84" s="72">
        <v>650.89000000000021</v>
      </c>
      <c r="K84" s="73">
        <v>18</v>
      </c>
      <c r="L84" s="11">
        <v>588</v>
      </c>
      <c r="M84" s="14">
        <v>17</v>
      </c>
      <c r="N84" s="11">
        <v>8</v>
      </c>
      <c r="O84" s="3" t="s">
        <v>33</v>
      </c>
    </row>
    <row r="85" spans="1:15" ht="20.25" thickBot="1">
      <c r="A85" s="41"/>
      <c r="B85" s="17">
        <v>46196</v>
      </c>
      <c r="C85" s="6">
        <v>0.95960000000000001</v>
      </c>
      <c r="D85" s="27">
        <v>0.77348407620000004</v>
      </c>
      <c r="E85" s="4">
        <f>SUM($C$2:C85)/COUNT($C$2:C85)</f>
        <v>0.747525</v>
      </c>
      <c r="G85" s="65">
        <v>197</v>
      </c>
      <c r="H85" s="72">
        <v>409.71000000000004</v>
      </c>
      <c r="I85" s="73">
        <v>9</v>
      </c>
      <c r="J85" s="72">
        <v>414.45000000000005</v>
      </c>
      <c r="K85" s="73">
        <v>11</v>
      </c>
      <c r="L85" s="11">
        <v>0</v>
      </c>
      <c r="M85" s="14">
        <v>0</v>
      </c>
      <c r="N85" s="11">
        <v>6</v>
      </c>
      <c r="O85" s="3" t="s">
        <v>33</v>
      </c>
    </row>
    <row r="86" spans="1:15" ht="20.25" thickBot="1">
      <c r="A86" s="41"/>
      <c r="B86" s="17">
        <v>46197</v>
      </c>
      <c r="C86" s="6">
        <v>0.91979999999999995</v>
      </c>
      <c r="D86" s="27">
        <v>0.77957887280000004</v>
      </c>
      <c r="E86" s="4">
        <f>SUM($C$2:C86)/COUNT($C$2:C86)</f>
        <v>0.74955176470588236</v>
      </c>
      <c r="G86" s="65">
        <v>221</v>
      </c>
      <c r="H86" s="72">
        <v>96.78</v>
      </c>
      <c r="I86" s="73">
        <v>2</v>
      </c>
      <c r="J86" s="72">
        <v>112.91</v>
      </c>
      <c r="K86" s="73">
        <v>3</v>
      </c>
      <c r="L86" s="11">
        <v>438</v>
      </c>
      <c r="M86" s="14">
        <v>13</v>
      </c>
      <c r="N86" s="11">
        <v>7</v>
      </c>
      <c r="O86" s="3" t="s">
        <v>33</v>
      </c>
    </row>
    <row r="87" spans="1:15" ht="20.25" thickBot="1">
      <c r="A87" s="41"/>
      <c r="B87" s="17">
        <v>46198</v>
      </c>
      <c r="C87" s="6">
        <v>0.92330000000000001</v>
      </c>
      <c r="D87" s="27">
        <v>0.78532713220000006</v>
      </c>
      <c r="E87" s="4">
        <f>SUM($C$2:C87)/COUNT($C$2:C87)</f>
        <v>0.75157209302325578</v>
      </c>
      <c r="G87" s="65">
        <v>155</v>
      </c>
      <c r="H87" s="72">
        <v>443.21</v>
      </c>
      <c r="I87" s="73">
        <v>8</v>
      </c>
      <c r="J87" s="72">
        <v>460.00000000000011</v>
      </c>
      <c r="K87" s="73">
        <v>13</v>
      </c>
      <c r="L87" s="11">
        <v>95</v>
      </c>
      <c r="M87" s="14">
        <v>3</v>
      </c>
      <c r="N87" s="11">
        <v>5</v>
      </c>
      <c r="O87" s="3" t="s">
        <v>33</v>
      </c>
    </row>
    <row r="88" spans="1:15" ht="20.25" thickBot="1">
      <c r="A88" s="41"/>
      <c r="B88" s="17">
        <v>46199</v>
      </c>
      <c r="C88" s="6">
        <v>0.90990000000000004</v>
      </c>
      <c r="D88" s="27">
        <v>0.79011728260000003</v>
      </c>
      <c r="E88" s="4">
        <f>SUM($C$2:C88)/COUNT($C$2:C88)</f>
        <v>0.75339195402298842</v>
      </c>
      <c r="G88" s="65">
        <v>175</v>
      </c>
      <c r="H88" s="72">
        <v>466.34</v>
      </c>
      <c r="I88" s="73">
        <v>10</v>
      </c>
      <c r="J88" s="72">
        <v>373.5</v>
      </c>
      <c r="K88" s="73">
        <v>10</v>
      </c>
      <c r="L88" s="11">
        <v>515</v>
      </c>
      <c r="M88" s="14">
        <v>14</v>
      </c>
      <c r="N88" s="11">
        <v>4</v>
      </c>
      <c r="O88" s="3" t="s">
        <v>33</v>
      </c>
    </row>
    <row r="89" spans="1:15" ht="20.25" thickBot="1">
      <c r="A89" s="41"/>
      <c r="B89" s="17">
        <v>46200</v>
      </c>
      <c r="C89" s="6">
        <v>1.0146999999999999</v>
      </c>
      <c r="D89" s="27">
        <v>0.79843493600000004</v>
      </c>
      <c r="E89" s="4">
        <f>SUM($C$2:C89)/COUNT($C$2:C89)</f>
        <v>0.75636136363636364</v>
      </c>
      <c r="G89" s="65">
        <v>214</v>
      </c>
      <c r="H89" s="72">
        <v>389.03999999999996</v>
      </c>
      <c r="I89" s="73">
        <v>9</v>
      </c>
      <c r="J89" s="72">
        <v>76.39</v>
      </c>
      <c r="K89" s="73">
        <v>2</v>
      </c>
      <c r="L89" s="11">
        <v>21</v>
      </c>
      <c r="M89" s="14">
        <v>1</v>
      </c>
      <c r="N89" s="11">
        <v>6</v>
      </c>
      <c r="O89" s="3" t="s">
        <v>33</v>
      </c>
    </row>
    <row r="90" spans="1:15" ht="20.25" thickBot="1">
      <c r="A90" s="41"/>
      <c r="B90" s="17">
        <v>46201</v>
      </c>
      <c r="C90" s="6">
        <v>0.9294</v>
      </c>
      <c r="D90" s="27">
        <v>0.80311180670000004</v>
      </c>
      <c r="E90" s="4">
        <f>SUM($C$2:C90)/COUNT($C$2:C90)</f>
        <v>0.75830561797752805</v>
      </c>
      <c r="G90" s="65">
        <v>193</v>
      </c>
      <c r="H90" s="72">
        <v>0</v>
      </c>
      <c r="I90" s="73">
        <v>0</v>
      </c>
      <c r="J90" s="72">
        <v>0</v>
      </c>
      <c r="K90" s="73">
        <v>0</v>
      </c>
      <c r="L90" s="11">
        <v>388</v>
      </c>
      <c r="M90" s="14">
        <v>12</v>
      </c>
      <c r="N90" s="11">
        <v>5</v>
      </c>
      <c r="O90" s="3" t="s">
        <v>33</v>
      </c>
    </row>
    <row r="91" spans="1:15" ht="20.25" thickBot="1">
      <c r="A91" s="41"/>
      <c r="B91" s="17">
        <v>46202</v>
      </c>
      <c r="C91" s="6">
        <v>1.1147</v>
      </c>
      <c r="D91" s="27">
        <v>0.81385768430000005</v>
      </c>
      <c r="E91" s="4">
        <f>SUM($C$2:C91)/COUNT($C$2:C91)</f>
        <v>0.76226555555555553</v>
      </c>
      <c r="G91" s="65">
        <v>189</v>
      </c>
      <c r="H91" s="72">
        <v>755.06000000000006</v>
      </c>
      <c r="I91" s="73">
        <v>15</v>
      </c>
      <c r="J91" s="72">
        <v>0</v>
      </c>
      <c r="K91" s="73">
        <v>0</v>
      </c>
      <c r="L91" s="11">
        <v>520</v>
      </c>
      <c r="M91" s="14">
        <v>15</v>
      </c>
      <c r="N91" s="11">
        <v>5</v>
      </c>
      <c r="O91" s="3" t="s">
        <v>33</v>
      </c>
    </row>
    <row r="92" spans="1:15" ht="20.25" thickBot="1">
      <c r="A92" s="42"/>
      <c r="B92" s="17">
        <v>46203</v>
      </c>
      <c r="C92" s="6">
        <v>1.0725</v>
      </c>
      <c r="D92" s="27">
        <v>0.82248040479999995</v>
      </c>
      <c r="E92" s="4">
        <f>SUM($C$2:C92)/COUNT($C$2:C92)</f>
        <v>0.76567472527472524</v>
      </c>
      <c r="G92" s="65">
        <v>208</v>
      </c>
      <c r="H92" s="72">
        <v>221.38</v>
      </c>
      <c r="I92" s="73">
        <v>6</v>
      </c>
      <c r="J92" s="72">
        <v>0</v>
      </c>
      <c r="K92" s="73">
        <v>0</v>
      </c>
      <c r="L92" s="11">
        <v>6</v>
      </c>
      <c r="M92" s="14">
        <v>1</v>
      </c>
      <c r="N92" s="11">
        <v>5</v>
      </c>
      <c r="O92" s="3" t="s">
        <v>33</v>
      </c>
    </row>
    <row r="93" spans="1:15" ht="20.25" thickBot="1">
      <c r="A93" s="40" t="s">
        <v>11</v>
      </c>
      <c r="B93" s="17">
        <v>46204</v>
      </c>
      <c r="C93" s="6">
        <v>1.0632999999999999</v>
      </c>
      <c r="D93" s="29">
        <v>1.0633401179999999</v>
      </c>
      <c r="E93" s="4">
        <f>SUM($C$2:C93)/COUNT($C$2:C93)</f>
        <v>0.76890978260869569</v>
      </c>
      <c r="G93" s="65">
        <v>223</v>
      </c>
      <c r="H93" s="74">
        <v>390.15000000000003</v>
      </c>
      <c r="I93" s="75">
        <v>8</v>
      </c>
      <c r="J93" s="74">
        <v>0</v>
      </c>
      <c r="K93" s="75">
        <v>0</v>
      </c>
      <c r="L93" s="11">
        <v>344</v>
      </c>
      <c r="M93" s="14">
        <v>13</v>
      </c>
      <c r="N93" s="11">
        <v>7</v>
      </c>
      <c r="O93" s="3" t="s">
        <v>33</v>
      </c>
    </row>
    <row r="94" spans="1:15" ht="20.25" thickBot="1">
      <c r="A94" s="41"/>
      <c r="B94" s="17">
        <v>46205</v>
      </c>
      <c r="C94" s="6">
        <v>1.0145</v>
      </c>
      <c r="D94" s="30">
        <v>1.0389069609999999</v>
      </c>
      <c r="E94" s="4">
        <f>SUM($C$2:C94)/COUNT($C$2:C94)</f>
        <v>0.77155053763440862</v>
      </c>
      <c r="G94" s="65">
        <v>107</v>
      </c>
      <c r="H94" s="72">
        <v>328.89</v>
      </c>
      <c r="I94" s="73">
        <v>9</v>
      </c>
      <c r="J94" s="72">
        <v>134.68</v>
      </c>
      <c r="K94" s="73">
        <v>4</v>
      </c>
      <c r="L94" s="11">
        <v>289</v>
      </c>
      <c r="M94" s="14">
        <v>10</v>
      </c>
      <c r="N94" s="11">
        <v>7</v>
      </c>
      <c r="O94" s="3" t="s">
        <v>33</v>
      </c>
    </row>
    <row r="95" spans="1:15" ht="20.25" thickBot="1">
      <c r="A95" s="41"/>
      <c r="B95" s="17">
        <v>46206</v>
      </c>
      <c r="C95" s="6">
        <v>0.96809999999999996</v>
      </c>
      <c r="D95" s="30">
        <v>1.015317024</v>
      </c>
      <c r="E95" s="4">
        <f>SUM($C$2:C95)/COUNT($C$2:C95)</f>
        <v>0.77364148936170218</v>
      </c>
      <c r="G95" s="65">
        <v>89</v>
      </c>
      <c r="H95" s="72">
        <v>285.64999999999998</v>
      </c>
      <c r="I95" s="73">
        <v>6</v>
      </c>
      <c r="J95" s="72">
        <v>35</v>
      </c>
      <c r="K95" s="73">
        <v>1</v>
      </c>
      <c r="L95" s="11">
        <v>202</v>
      </c>
      <c r="M95" s="14">
        <v>6</v>
      </c>
      <c r="N95" s="11">
        <v>2</v>
      </c>
      <c r="O95" s="3" t="s">
        <v>33</v>
      </c>
    </row>
    <row r="96" spans="1:15" ht="20.25" thickBot="1">
      <c r="A96" s="41"/>
      <c r="B96" s="17">
        <v>46207</v>
      </c>
      <c r="C96" s="6">
        <v>1.0498000000000001</v>
      </c>
      <c r="D96" s="30">
        <v>1.0239381809999999</v>
      </c>
      <c r="E96" s="4">
        <f>SUM($C$2:C96)/COUNT($C$2:C96)</f>
        <v>0.77654842105263167</v>
      </c>
      <c r="G96" s="65">
        <v>218</v>
      </c>
      <c r="H96" s="72">
        <v>141.04000000000002</v>
      </c>
      <c r="I96" s="73">
        <v>3</v>
      </c>
      <c r="J96" s="72">
        <v>180.45999999999998</v>
      </c>
      <c r="K96" s="73">
        <v>5</v>
      </c>
      <c r="L96" s="11">
        <v>356</v>
      </c>
      <c r="M96" s="14">
        <v>13</v>
      </c>
      <c r="N96" s="11">
        <v>9</v>
      </c>
      <c r="O96" s="3" t="s">
        <v>33</v>
      </c>
    </row>
    <row r="97" spans="1:15" ht="20.25" thickBot="1">
      <c r="A97" s="41"/>
      <c r="B97" s="17">
        <v>46208</v>
      </c>
      <c r="C97" s="6">
        <v>1.0489999999999999</v>
      </c>
      <c r="D97" s="30">
        <v>1.028946806</v>
      </c>
      <c r="E97" s="4">
        <f>SUM($C$2:C97)/COUNT($C$2:C97)</f>
        <v>0.77938645833333353</v>
      </c>
      <c r="G97" s="65">
        <v>158</v>
      </c>
      <c r="H97" s="72">
        <v>0</v>
      </c>
      <c r="I97" s="73">
        <v>0</v>
      </c>
      <c r="J97" s="72">
        <v>0</v>
      </c>
      <c r="K97" s="73">
        <v>0</v>
      </c>
      <c r="L97" s="11">
        <v>189</v>
      </c>
      <c r="M97" s="14">
        <v>6</v>
      </c>
      <c r="N97" s="11">
        <v>7</v>
      </c>
      <c r="O97" s="3" t="s">
        <v>33</v>
      </c>
    </row>
    <row r="98" spans="1:15" ht="20.25" thickBot="1">
      <c r="A98" s="41"/>
      <c r="B98" s="17">
        <v>46209</v>
      </c>
      <c r="C98" s="6">
        <v>0.94889999999999997</v>
      </c>
      <c r="D98" s="30">
        <v>1.0324556709999999</v>
      </c>
      <c r="E98" s="4">
        <f>SUM($C$2:C98)/COUNT($C$2:C98)</f>
        <v>0.78113402061855686</v>
      </c>
      <c r="G98" s="65">
        <v>139</v>
      </c>
      <c r="H98" s="72">
        <v>284.61</v>
      </c>
      <c r="I98" s="73">
        <v>5</v>
      </c>
      <c r="J98" s="72">
        <v>0</v>
      </c>
      <c r="K98" s="73">
        <v>0</v>
      </c>
      <c r="L98" s="11">
        <v>231</v>
      </c>
      <c r="M98" s="14">
        <v>13</v>
      </c>
      <c r="N98" s="11">
        <v>6</v>
      </c>
      <c r="O98" s="3" t="s">
        <v>33</v>
      </c>
    </row>
    <row r="99" spans="1:15" ht="20.25" thickBot="1">
      <c r="A99" s="41"/>
      <c r="B99" s="17">
        <v>46210</v>
      </c>
      <c r="C99" s="6">
        <v>1.1287</v>
      </c>
      <c r="D99" s="30">
        <v>1.046200706</v>
      </c>
      <c r="E99" s="4">
        <f>SUM($C$2:C99)/COUNT($C$2:C99)</f>
        <v>0.78468061224489805</v>
      </c>
      <c r="G99" s="65">
        <v>117</v>
      </c>
      <c r="H99" s="72">
        <v>206.08999999999997</v>
      </c>
      <c r="I99" s="73">
        <v>5</v>
      </c>
      <c r="J99" s="72">
        <v>593.16</v>
      </c>
      <c r="K99" s="73">
        <v>16</v>
      </c>
      <c r="L99" s="11">
        <v>214</v>
      </c>
      <c r="M99" s="14">
        <v>9</v>
      </c>
      <c r="N99" s="11">
        <v>7</v>
      </c>
      <c r="O99" s="3" t="s">
        <v>33</v>
      </c>
    </row>
    <row r="100" spans="1:15" ht="20.25" thickBot="1">
      <c r="A100" s="41"/>
      <c r="B100" s="17">
        <v>46211</v>
      </c>
      <c r="C100" s="6">
        <v>1.1103000000000001</v>
      </c>
      <c r="D100" s="30">
        <v>1.054212323</v>
      </c>
      <c r="E100" s="4">
        <f>SUM($C$2:C100)/COUNT($C$2:C100)</f>
        <v>0.78796969696969699</v>
      </c>
      <c r="G100" s="65">
        <v>164</v>
      </c>
      <c r="H100" s="72">
        <v>383.92000000000007</v>
      </c>
      <c r="I100" s="73">
        <v>8</v>
      </c>
      <c r="J100" s="72">
        <v>166.14000000000001</v>
      </c>
      <c r="K100" s="73">
        <v>5</v>
      </c>
      <c r="L100" s="11">
        <v>433</v>
      </c>
      <c r="M100" s="14">
        <v>20</v>
      </c>
      <c r="N100" s="11">
        <v>7</v>
      </c>
      <c r="O100" s="3" t="s">
        <v>33</v>
      </c>
    </row>
    <row r="101" spans="1:15" ht="20.25" thickBot="1">
      <c r="A101" s="41"/>
      <c r="B101" s="17">
        <v>46212</v>
      </c>
      <c r="C101" s="6">
        <v>1.0798000000000001</v>
      </c>
      <c r="D101" s="30">
        <v>1.0570515840000001</v>
      </c>
      <c r="E101" s="4">
        <f>SUM($C$2:C101)/COUNT($C$2:C101)</f>
        <v>0.79088800000000004</v>
      </c>
      <c r="G101" s="65">
        <v>273</v>
      </c>
      <c r="H101" s="72">
        <v>705.55</v>
      </c>
      <c r="I101" s="73">
        <v>16</v>
      </c>
      <c r="J101" s="72">
        <v>175.33</v>
      </c>
      <c r="K101" s="73">
        <v>5</v>
      </c>
      <c r="L101" s="11">
        <v>172</v>
      </c>
      <c r="M101" s="14">
        <v>6</v>
      </c>
      <c r="N101" s="11">
        <v>12</v>
      </c>
      <c r="O101" s="3" t="s">
        <v>33</v>
      </c>
    </row>
    <row r="102" spans="1:15" ht="20.25" thickBot="1">
      <c r="A102" s="41"/>
      <c r="B102" s="17">
        <v>46213</v>
      </c>
      <c r="C102" s="6">
        <v>1.1523000000000001</v>
      </c>
      <c r="D102" s="30">
        <v>1.0665725779999999</v>
      </c>
      <c r="E102" s="4">
        <f>SUM($C$2:C102)/COUNT($C$2:C102)</f>
        <v>0.79446633663366339</v>
      </c>
      <c r="G102" s="65">
        <v>246</v>
      </c>
      <c r="H102" s="72">
        <v>90.03</v>
      </c>
      <c r="I102" s="73">
        <v>2</v>
      </c>
      <c r="J102" s="72">
        <v>248.23000000000002</v>
      </c>
      <c r="K102" s="73">
        <v>7</v>
      </c>
      <c r="L102" s="11">
        <v>532</v>
      </c>
      <c r="M102" s="14">
        <v>19</v>
      </c>
      <c r="N102" s="11">
        <v>10</v>
      </c>
      <c r="O102" s="3" t="s">
        <v>33</v>
      </c>
    </row>
    <row r="103" spans="1:15" ht="20.25" thickBot="1">
      <c r="A103" s="41"/>
      <c r="B103" s="17">
        <v>46214</v>
      </c>
      <c r="C103" s="6">
        <v>1.1205000000000001</v>
      </c>
      <c r="D103" s="30">
        <v>1.0714736810000001</v>
      </c>
      <c r="E103" s="4">
        <f>SUM($C$2:C103)/COUNT($C$2:C103)</f>
        <v>0.79766274509803936</v>
      </c>
      <c r="G103" s="65">
        <v>26</v>
      </c>
      <c r="H103" s="72">
        <v>702.58999999999992</v>
      </c>
      <c r="I103" s="73">
        <v>16</v>
      </c>
      <c r="J103" s="72">
        <v>365.24</v>
      </c>
      <c r="K103" s="73">
        <v>10</v>
      </c>
      <c r="L103" s="11">
        <v>146</v>
      </c>
      <c r="M103" s="14">
        <v>10</v>
      </c>
      <c r="N103" s="11">
        <v>0</v>
      </c>
      <c r="O103" s="3" t="s">
        <v>33</v>
      </c>
    </row>
    <row r="104" spans="1:15" ht="20.25" thickBot="1">
      <c r="A104" s="41"/>
      <c r="B104" s="17">
        <v>46215</v>
      </c>
      <c r="C104" s="6">
        <v>0.78979999999999995</v>
      </c>
      <c r="D104" s="30">
        <v>1.0480040399999999</v>
      </c>
      <c r="E104" s="4">
        <f>SUM($C$2:C104)/COUNT($C$2:C104)</f>
        <v>0.79758640776699041</v>
      </c>
      <c r="G104" s="65">
        <v>94</v>
      </c>
      <c r="H104" s="72">
        <v>0</v>
      </c>
      <c r="I104" s="73">
        <v>0</v>
      </c>
      <c r="J104" s="72">
        <v>0</v>
      </c>
      <c r="K104" s="73">
        <v>0</v>
      </c>
      <c r="L104" s="11">
        <v>0</v>
      </c>
      <c r="M104" s="14">
        <v>0</v>
      </c>
      <c r="N104" s="11">
        <v>6</v>
      </c>
      <c r="O104" s="3" t="s">
        <v>33</v>
      </c>
    </row>
    <row r="105" spans="1:15" ht="20.25" thickBot="1">
      <c r="A105" s="41"/>
      <c r="B105" s="17">
        <v>46216</v>
      </c>
      <c r="C105" s="6">
        <v>0.89790000000000003</v>
      </c>
      <c r="D105" s="30">
        <v>1.036460009</v>
      </c>
      <c r="E105" s="4">
        <f>SUM($C$2:C105)/COUNT($C$2:C105)</f>
        <v>0.79855096153846172</v>
      </c>
      <c r="G105" s="65">
        <v>78</v>
      </c>
      <c r="H105" s="72">
        <v>668.67699999999991</v>
      </c>
      <c r="I105" s="73">
        <v>14</v>
      </c>
      <c r="J105" s="72">
        <v>338.89</v>
      </c>
      <c r="K105" s="73">
        <v>10</v>
      </c>
      <c r="L105" s="11">
        <v>366</v>
      </c>
      <c r="M105" s="14">
        <v>11</v>
      </c>
      <c r="N105" s="11">
        <v>3</v>
      </c>
      <c r="O105" s="3" t="s">
        <v>33</v>
      </c>
    </row>
    <row r="106" spans="1:15" ht="20.25" thickBot="1">
      <c r="A106" s="41"/>
      <c r="B106" s="17">
        <v>46217</v>
      </c>
      <c r="C106" s="6">
        <v>1.2470000000000001</v>
      </c>
      <c r="D106" s="30">
        <v>1.0515006099999999</v>
      </c>
      <c r="E106" s="4">
        <f>SUM($C$2:C106)/COUNT($C$2:C106)</f>
        <v>0.80282190476190496</v>
      </c>
      <c r="G106" s="65">
        <v>143</v>
      </c>
      <c r="H106" s="72">
        <v>178.36999999999998</v>
      </c>
      <c r="I106" s="73">
        <v>5</v>
      </c>
      <c r="J106" s="72">
        <v>165.23000000000002</v>
      </c>
      <c r="K106" s="73">
        <v>5</v>
      </c>
      <c r="L106" s="11">
        <v>0</v>
      </c>
      <c r="M106" s="14">
        <v>0</v>
      </c>
      <c r="N106" s="11">
        <v>7</v>
      </c>
      <c r="O106" s="3" t="s">
        <v>33</v>
      </c>
    </row>
    <row r="107" spans="1:15" ht="20.25" thickBot="1">
      <c r="A107" s="41"/>
      <c r="B107" s="17">
        <v>46218</v>
      </c>
      <c r="C107" s="6">
        <v>1.0686</v>
      </c>
      <c r="D107" s="30">
        <v>1.052639206</v>
      </c>
      <c r="E107" s="4">
        <f>SUM($C$2:C107)/COUNT($C$2:C107)</f>
        <v>0.80532924528301908</v>
      </c>
      <c r="G107" s="65">
        <v>103</v>
      </c>
      <c r="H107" s="72">
        <v>222.14</v>
      </c>
      <c r="I107" s="73">
        <v>5</v>
      </c>
      <c r="J107" s="72">
        <v>408.57</v>
      </c>
      <c r="K107" s="73">
        <v>11</v>
      </c>
      <c r="L107" s="11">
        <v>368</v>
      </c>
      <c r="M107" s="14">
        <v>12</v>
      </c>
      <c r="N107" s="11">
        <v>4</v>
      </c>
      <c r="O107" s="3" t="s">
        <v>33</v>
      </c>
    </row>
    <row r="108" spans="1:15" ht="20.25" thickBot="1">
      <c r="A108" s="41"/>
      <c r="B108" s="17">
        <v>46219</v>
      </c>
      <c r="C108" s="6">
        <v>1.0063</v>
      </c>
      <c r="D108" s="30">
        <v>1.049743275</v>
      </c>
      <c r="E108" s="4">
        <f>SUM($C$2:C108)/COUNT($C$2:C108)</f>
        <v>0.80720747663551418</v>
      </c>
      <c r="G108" s="65">
        <v>155</v>
      </c>
      <c r="H108" s="72">
        <v>237.18</v>
      </c>
      <c r="I108" s="73">
        <v>5</v>
      </c>
      <c r="J108" s="72">
        <v>362.81000000000006</v>
      </c>
      <c r="K108" s="73">
        <v>10</v>
      </c>
      <c r="L108" s="11">
        <v>244</v>
      </c>
      <c r="M108" s="14">
        <v>-432</v>
      </c>
      <c r="N108" s="11">
        <v>6</v>
      </c>
      <c r="O108" s="3" t="s">
        <v>33</v>
      </c>
    </row>
    <row r="109" spans="1:15" ht="20.25" thickBot="1">
      <c r="A109" s="41"/>
      <c r="B109" s="17">
        <v>46220</v>
      </c>
      <c r="C109" s="6">
        <v>1.0089999999999999</v>
      </c>
      <c r="D109" s="30">
        <v>1.0473480079999999</v>
      </c>
      <c r="E109" s="4">
        <f>SUM($C$2:C109)/COUNT($C$2:C109)</f>
        <v>0.80907592592592603</v>
      </c>
      <c r="G109" s="65">
        <v>0</v>
      </c>
      <c r="H109" s="72">
        <v>205.83999999999997</v>
      </c>
      <c r="I109" s="73">
        <v>4</v>
      </c>
      <c r="J109" s="72">
        <v>193.93</v>
      </c>
      <c r="K109" s="73">
        <v>5</v>
      </c>
      <c r="L109" s="11">
        <v>167</v>
      </c>
      <c r="M109" s="14">
        <v>5</v>
      </c>
      <c r="N109" s="11">
        <v>6</v>
      </c>
      <c r="O109" s="3" t="s">
        <v>33</v>
      </c>
    </row>
    <row r="110" spans="1:15" ht="20.25" thickBot="1">
      <c r="A110" s="41"/>
      <c r="B110" s="17">
        <v>46221</v>
      </c>
      <c r="C110" s="6">
        <v>1.1213</v>
      </c>
      <c r="D110" s="30">
        <v>1.0514586210000001</v>
      </c>
      <c r="E110" s="4">
        <f>SUM($C$2:C110)/COUNT($C$2:C110)</f>
        <v>0.81194036697247729</v>
      </c>
      <c r="G110" s="65">
        <v>250</v>
      </c>
      <c r="H110" s="72">
        <v>194.89000000000001</v>
      </c>
      <c r="I110" s="73">
        <v>5</v>
      </c>
      <c r="J110" s="72">
        <v>183.23999999999998</v>
      </c>
      <c r="K110" s="73">
        <v>5</v>
      </c>
      <c r="L110" s="11">
        <v>483</v>
      </c>
      <c r="M110" s="14">
        <v>22</v>
      </c>
      <c r="N110" s="11">
        <v>6</v>
      </c>
      <c r="O110" s="3" t="s">
        <v>33</v>
      </c>
    </row>
    <row r="111" spans="1:15" ht="20.25" thickBot="1">
      <c r="A111" s="41"/>
      <c r="B111" s="17">
        <v>46222</v>
      </c>
      <c r="C111" s="6">
        <v>1.0669</v>
      </c>
      <c r="D111" s="30">
        <v>1.0522693759999999</v>
      </c>
      <c r="E111" s="4">
        <f>SUM($C$2:C111)/COUNT($C$2:C111)</f>
        <v>0.8142581818181821</v>
      </c>
      <c r="G111" s="65">
        <v>111</v>
      </c>
      <c r="H111" s="72">
        <v>0</v>
      </c>
      <c r="I111" s="73">
        <v>0</v>
      </c>
      <c r="J111" s="72">
        <v>0</v>
      </c>
      <c r="K111" s="73">
        <v>0</v>
      </c>
      <c r="L111" s="11">
        <v>231</v>
      </c>
      <c r="M111" s="14">
        <v>13</v>
      </c>
      <c r="N111" s="11">
        <v>9</v>
      </c>
      <c r="O111" s="3" t="s">
        <v>33</v>
      </c>
    </row>
    <row r="112" spans="1:15" ht="20.25" thickBot="1">
      <c r="A112" s="41"/>
      <c r="B112" s="17">
        <v>46223</v>
      </c>
      <c r="C112" s="6">
        <v>0.94020000000000004</v>
      </c>
      <c r="D112" s="30">
        <v>1.046666195</v>
      </c>
      <c r="E112" s="4">
        <f>SUM($C$2:C112)/COUNT($C$2:C112)</f>
        <v>0.81539279279279309</v>
      </c>
      <c r="G112" s="65">
        <v>23</v>
      </c>
      <c r="H112" s="72">
        <v>113.28999999999999</v>
      </c>
      <c r="I112" s="73">
        <v>2</v>
      </c>
      <c r="J112" s="72">
        <v>547.66000000000008</v>
      </c>
      <c r="K112" s="73">
        <v>15</v>
      </c>
      <c r="L112" s="11">
        <v>84</v>
      </c>
      <c r="M112" s="14">
        <v>4</v>
      </c>
      <c r="N112" s="11">
        <v>4</v>
      </c>
      <c r="O112" s="3" t="s">
        <v>33</v>
      </c>
    </row>
    <row r="113" spans="1:15" ht="20.25" thickBot="1">
      <c r="A113" s="41"/>
      <c r="B113" s="17">
        <v>46224</v>
      </c>
      <c r="C113" s="6">
        <v>0.9506</v>
      </c>
      <c r="D113" s="30">
        <v>1.0420933160000001</v>
      </c>
      <c r="E113" s="4">
        <f>SUM($C$2:C113)/COUNT($C$2:C113)</f>
        <v>0.81660000000000021</v>
      </c>
      <c r="G113" s="65">
        <v>126</v>
      </c>
      <c r="H113" s="72">
        <v>370.94999999999993</v>
      </c>
      <c r="I113" s="73">
        <v>10</v>
      </c>
      <c r="J113" s="72">
        <v>182.17</v>
      </c>
      <c r="K113" s="73">
        <v>5</v>
      </c>
      <c r="L113" s="11">
        <v>529</v>
      </c>
      <c r="M113" s="14">
        <v>17</v>
      </c>
      <c r="N113" s="11">
        <v>9</v>
      </c>
      <c r="O113" s="3" t="s">
        <v>33</v>
      </c>
    </row>
    <row r="114" spans="1:15" ht="20.25" thickBot="1">
      <c r="A114" s="41"/>
      <c r="B114" s="17">
        <v>46225</v>
      </c>
      <c r="C114" s="6">
        <v>0.53310000000000002</v>
      </c>
      <c r="D114" s="30">
        <v>1.0189586960000001</v>
      </c>
      <c r="E114" s="4">
        <f>SUM($C$2:C114)/COUNT($C$2:C114)</f>
        <v>0.81409115044247815</v>
      </c>
      <c r="G114" s="65">
        <v>52</v>
      </c>
      <c r="H114" s="72">
        <v>558.63</v>
      </c>
      <c r="I114" s="73">
        <v>11</v>
      </c>
      <c r="J114" s="72">
        <v>35.619999999999997</v>
      </c>
      <c r="K114" s="73">
        <v>1</v>
      </c>
      <c r="L114" s="11">
        <v>172</v>
      </c>
      <c r="M114" s="14">
        <v>8</v>
      </c>
      <c r="N114" s="11">
        <v>5</v>
      </c>
      <c r="O114" s="3" t="s">
        <v>33</v>
      </c>
    </row>
    <row r="115" spans="1:15" ht="20.25" thickBot="1">
      <c r="A115" s="41"/>
      <c r="B115" s="17">
        <v>46226</v>
      </c>
      <c r="C115" s="6">
        <v>0.74609999999999999</v>
      </c>
      <c r="D115" s="30">
        <v>1.007097012</v>
      </c>
      <c r="E115" s="4">
        <f>SUM($C$2:C115)/COUNT($C$2:C115)</f>
        <v>0.81349473684210549</v>
      </c>
      <c r="G115" s="65">
        <v>27</v>
      </c>
      <c r="H115" s="72">
        <v>126.78</v>
      </c>
      <c r="I115" s="73">
        <v>3</v>
      </c>
      <c r="J115" s="72">
        <v>256.83000000000004</v>
      </c>
      <c r="K115" s="73">
        <v>7</v>
      </c>
      <c r="L115" s="11">
        <v>0</v>
      </c>
      <c r="M115" s="14">
        <v>0</v>
      </c>
      <c r="N115" s="11">
        <v>3</v>
      </c>
      <c r="O115" s="3" t="s">
        <v>33</v>
      </c>
    </row>
    <row r="116" spans="1:15" ht="20.25" thickBot="1">
      <c r="A116" s="41"/>
      <c r="B116" s="17">
        <v>46227</v>
      </c>
      <c r="C116" s="6">
        <v>0.81399999999999995</v>
      </c>
      <c r="D116" s="30">
        <v>0.99905325270000001</v>
      </c>
      <c r="E116" s="4">
        <f>SUM($C$2:C116)/COUNT($C$2:C116)</f>
        <v>0.81349913043478284</v>
      </c>
      <c r="G116" s="65">
        <v>57</v>
      </c>
      <c r="H116" s="72">
        <v>685.17</v>
      </c>
      <c r="I116" s="73">
        <v>15</v>
      </c>
      <c r="J116" s="72">
        <v>0</v>
      </c>
      <c r="K116" s="73">
        <v>0</v>
      </c>
      <c r="L116" s="11">
        <v>364</v>
      </c>
      <c r="M116" s="14">
        <v>19</v>
      </c>
      <c r="N116" s="11">
        <v>4</v>
      </c>
      <c r="O116" s="3" t="s">
        <v>33</v>
      </c>
    </row>
    <row r="117" spans="1:15" ht="20.25" thickBot="1">
      <c r="A117" s="41"/>
      <c r="B117" s="17">
        <v>46228</v>
      </c>
      <c r="C117" s="6">
        <v>0.72840000000000005</v>
      </c>
      <c r="D117" s="30">
        <v>0.98822726620000001</v>
      </c>
      <c r="E117" s="4">
        <f>SUM($C$2:C117)/COUNT($C$2:C117)</f>
        <v>0.81276551724137946</v>
      </c>
      <c r="G117" s="65">
        <v>70</v>
      </c>
      <c r="H117" s="72">
        <v>284.35000000000002</v>
      </c>
      <c r="I117" s="73">
        <v>6</v>
      </c>
      <c r="J117" s="72">
        <v>190.47</v>
      </c>
      <c r="K117" s="73">
        <v>5</v>
      </c>
      <c r="L117" s="11">
        <v>306</v>
      </c>
      <c r="M117" s="14">
        <v>8</v>
      </c>
      <c r="N117" s="11">
        <v>6</v>
      </c>
      <c r="O117" s="3" t="s">
        <v>33</v>
      </c>
    </row>
    <row r="118" spans="1:15" ht="20.25" thickBot="1">
      <c r="A118" s="41"/>
      <c r="B118" s="17">
        <v>46229</v>
      </c>
      <c r="C118" s="6">
        <v>0.72960000000000003</v>
      </c>
      <c r="D118" s="30">
        <v>0.97828196590000005</v>
      </c>
      <c r="E118" s="4">
        <f>SUM($C$2:C118)/COUNT($C$2:C118)</f>
        <v>0.81205470085470099</v>
      </c>
      <c r="G118" s="65">
        <v>76</v>
      </c>
      <c r="H118" s="72">
        <v>149.43</v>
      </c>
      <c r="I118" s="73">
        <v>4</v>
      </c>
      <c r="J118" s="72">
        <v>0</v>
      </c>
      <c r="K118" s="73">
        <v>0</v>
      </c>
      <c r="L118" s="11">
        <v>167</v>
      </c>
      <c r="M118" s="14">
        <v>7</v>
      </c>
      <c r="N118" s="11">
        <v>6</v>
      </c>
      <c r="O118" s="3" t="s">
        <v>33</v>
      </c>
    </row>
    <row r="119" spans="1:15" ht="20.25" thickBot="1">
      <c r="A119" s="41"/>
      <c r="B119" s="17">
        <v>46230</v>
      </c>
      <c r="C119" s="6">
        <v>0.78259999999999996</v>
      </c>
      <c r="D119" s="30">
        <v>0.97103421489999997</v>
      </c>
      <c r="E119" s="4">
        <f>SUM($C$2:C119)/COUNT($C$2:C119)</f>
        <v>0.81180508474576285</v>
      </c>
      <c r="G119" s="65">
        <v>188</v>
      </c>
      <c r="H119" s="72">
        <v>484.04</v>
      </c>
      <c r="I119" s="73">
        <v>12</v>
      </c>
      <c r="J119" s="72">
        <v>580.99</v>
      </c>
      <c r="K119" s="73">
        <v>16</v>
      </c>
      <c r="L119" s="11">
        <v>296</v>
      </c>
      <c r="M119" s="14">
        <v>9</v>
      </c>
      <c r="N119" s="11">
        <v>5</v>
      </c>
      <c r="O119" s="3" t="s">
        <v>33</v>
      </c>
    </row>
    <row r="120" spans="1:15" ht="20.25" thickBot="1">
      <c r="A120" s="41"/>
      <c r="B120" s="17">
        <v>46231</v>
      </c>
      <c r="C120" s="6">
        <v>0.70199999999999996</v>
      </c>
      <c r="D120" s="30">
        <v>0.96142510510000001</v>
      </c>
      <c r="E120" s="4">
        <f>SUM($C$2:C120)/COUNT($C$2:C120)</f>
        <v>0.81088235294117661</v>
      </c>
      <c r="G120" s="65">
        <v>242</v>
      </c>
      <c r="H120" s="72">
        <v>353.40999999999997</v>
      </c>
      <c r="I120" s="73">
        <v>9</v>
      </c>
      <c r="J120" s="72">
        <v>79.17</v>
      </c>
      <c r="K120" s="73">
        <v>2</v>
      </c>
      <c r="L120" s="11">
        <v>199</v>
      </c>
      <c r="M120" s="14">
        <v>8</v>
      </c>
      <c r="N120" s="11">
        <v>5</v>
      </c>
      <c r="O120" s="3" t="s">
        <v>33</v>
      </c>
    </row>
    <row r="121" spans="1:15" ht="20.25" thickBot="1">
      <c r="A121" s="41"/>
      <c r="B121" s="17">
        <v>46232</v>
      </c>
      <c r="C121" s="6">
        <v>0.93479999999999996</v>
      </c>
      <c r="D121" s="30">
        <v>0.96111782209999996</v>
      </c>
      <c r="E121" s="4">
        <f>SUM($C$2:C121)/COUNT($C$2:C121)</f>
        <v>0.81191500000000016</v>
      </c>
      <c r="G121" s="65">
        <v>199</v>
      </c>
      <c r="H121" s="72">
        <v>424.17999999999995</v>
      </c>
      <c r="I121" s="73">
        <v>9</v>
      </c>
      <c r="J121" s="72">
        <v>336.58</v>
      </c>
      <c r="K121" s="73">
        <v>9</v>
      </c>
      <c r="L121" s="11">
        <v>391</v>
      </c>
      <c r="M121" s="14">
        <v>17</v>
      </c>
      <c r="N121" s="11">
        <v>7</v>
      </c>
      <c r="O121" s="3" t="s">
        <v>33</v>
      </c>
    </row>
    <row r="122" spans="1:15" ht="20.25" thickBot="1">
      <c r="A122" s="41"/>
      <c r="B122" s="17">
        <v>46233</v>
      </c>
      <c r="C122" s="6">
        <v>0.93500000000000005</v>
      </c>
      <c r="D122" s="30">
        <v>0.96024613989999996</v>
      </c>
      <c r="E122" s="4">
        <f>SUM($C$2:C122)/COUNT($C$2:C122)</f>
        <v>0.81293223140495885</v>
      </c>
      <c r="G122" s="65">
        <v>178</v>
      </c>
      <c r="H122" s="72">
        <v>320.68999999999994</v>
      </c>
      <c r="I122" s="73">
        <v>7</v>
      </c>
      <c r="J122" s="72">
        <v>121.28999999999999</v>
      </c>
      <c r="K122" s="73">
        <v>3</v>
      </c>
      <c r="L122" s="11">
        <v>307</v>
      </c>
      <c r="M122" s="14">
        <v>18</v>
      </c>
      <c r="N122" s="11">
        <v>4</v>
      </c>
      <c r="O122" s="3" t="s">
        <v>33</v>
      </c>
    </row>
    <row r="123" spans="1:15" ht="20.25" thickBot="1">
      <c r="A123" s="42"/>
      <c r="B123" s="17">
        <v>46234</v>
      </c>
      <c r="C123" s="6">
        <v>0.97289999999999999</v>
      </c>
      <c r="D123" s="30">
        <v>0.96065444379999998</v>
      </c>
      <c r="E123" s="4">
        <f>SUM($C$2:C123)/COUNT($C$2:C123)</f>
        <v>0.8142434426229509</v>
      </c>
      <c r="G123" s="65">
        <v>200</v>
      </c>
      <c r="H123" s="72">
        <v>306.46999999999997</v>
      </c>
      <c r="I123" s="73">
        <v>7</v>
      </c>
      <c r="J123" s="72">
        <v>542.11000000000013</v>
      </c>
      <c r="K123" s="73">
        <v>14</v>
      </c>
      <c r="L123" s="11">
        <v>400</v>
      </c>
      <c r="M123" s="14">
        <v>20</v>
      </c>
      <c r="N123" s="11">
        <v>6</v>
      </c>
      <c r="O123" s="3" t="s">
        <v>33</v>
      </c>
    </row>
    <row r="124" spans="1:15" ht="20.25" thickBot="1">
      <c r="A124" s="40" t="s">
        <v>12</v>
      </c>
      <c r="B124" s="17">
        <v>46235</v>
      </c>
      <c r="C124" s="6">
        <v>0.99390000000000001</v>
      </c>
      <c r="D124" s="29">
        <v>0.99390000000000001</v>
      </c>
      <c r="E124" s="4">
        <f>SUM($C$2:C124)/COUNT($C$2:C124)</f>
        <v>0.81570406504065052</v>
      </c>
      <c r="G124" s="65">
        <v>202</v>
      </c>
      <c r="H124" s="74">
        <v>445.73</v>
      </c>
      <c r="I124" s="75">
        <v>9</v>
      </c>
      <c r="J124" s="74">
        <v>436.6699999999999</v>
      </c>
      <c r="K124" s="75">
        <v>12</v>
      </c>
      <c r="L124" s="11">
        <v>474</v>
      </c>
      <c r="M124" s="14">
        <v>23</v>
      </c>
      <c r="N124" s="11">
        <v>6</v>
      </c>
      <c r="O124" s="3" t="s">
        <v>33</v>
      </c>
    </row>
    <row r="125" spans="1:15" ht="20.25" thickBot="1">
      <c r="A125" s="41"/>
      <c r="B125" s="17">
        <v>46236</v>
      </c>
      <c r="C125" s="5">
        <v>0.9506</v>
      </c>
      <c r="D125" s="30">
        <v>0.97219999999999995</v>
      </c>
      <c r="E125" s="4">
        <f>SUM($C$2:C125)/COUNT($C$2:C125)</f>
        <v>0.81679193548387097</v>
      </c>
      <c r="G125" s="65">
        <v>269</v>
      </c>
      <c r="H125" s="72">
        <v>0</v>
      </c>
      <c r="I125" s="73">
        <v>0</v>
      </c>
      <c r="J125" s="72">
        <v>82.949999999999989</v>
      </c>
      <c r="K125" s="73">
        <v>2</v>
      </c>
      <c r="L125" s="11">
        <v>297</v>
      </c>
      <c r="M125" s="14">
        <v>10</v>
      </c>
      <c r="N125" s="11">
        <v>6</v>
      </c>
      <c r="O125" s="3" t="s">
        <v>33</v>
      </c>
    </row>
    <row r="126" spans="1:15" ht="20.25" thickBot="1">
      <c r="A126" s="41"/>
      <c r="B126" s="17">
        <v>46237</v>
      </c>
      <c r="C126" s="5">
        <v>0.96950000000000003</v>
      </c>
      <c r="D126" s="30">
        <v>0.97130000000000005</v>
      </c>
      <c r="E126" s="4">
        <f>SUM($C$2:C126)/COUNT($C$2:C126)</f>
        <v>0.81801360000000001</v>
      </c>
      <c r="G126" s="65">
        <v>401</v>
      </c>
      <c r="H126" s="72">
        <v>782.19999999999993</v>
      </c>
      <c r="I126" s="73">
        <v>16</v>
      </c>
      <c r="J126" s="72">
        <v>523.06000000000006</v>
      </c>
      <c r="K126" s="73">
        <v>14</v>
      </c>
      <c r="L126" s="11">
        <v>377</v>
      </c>
      <c r="M126" s="14">
        <v>19</v>
      </c>
      <c r="N126" s="11">
        <v>11</v>
      </c>
      <c r="O126" s="3" t="s">
        <v>33</v>
      </c>
    </row>
    <row r="127" spans="1:15" ht="20.25" thickBot="1">
      <c r="A127" s="41"/>
      <c r="B127" s="17">
        <v>46238</v>
      </c>
      <c r="C127" s="5">
        <v>0.97560000000000002</v>
      </c>
      <c r="D127" s="30">
        <v>0.97240000000000004</v>
      </c>
      <c r="E127" s="4">
        <f>SUM($C$2:C127)/COUNT($C$2:C127)</f>
        <v>0.81926428571428567</v>
      </c>
      <c r="G127" s="65">
        <v>402</v>
      </c>
      <c r="H127" s="72">
        <v>500.05</v>
      </c>
      <c r="I127" s="73">
        <v>9</v>
      </c>
      <c r="J127" s="72">
        <v>111.78</v>
      </c>
      <c r="K127" s="73">
        <v>3</v>
      </c>
      <c r="L127" s="11">
        <v>300</v>
      </c>
      <c r="M127" s="14">
        <v>16</v>
      </c>
      <c r="N127" s="11">
        <v>10</v>
      </c>
      <c r="O127" s="3" t="s">
        <v>33</v>
      </c>
    </row>
    <row r="128" spans="1:15" ht="20.25" thickBot="1">
      <c r="A128" s="41"/>
      <c r="B128" s="17">
        <v>46239</v>
      </c>
      <c r="C128" s="6">
        <v>0.96899999999999997</v>
      </c>
      <c r="D128" s="30">
        <v>0.97170000000000001</v>
      </c>
      <c r="E128" s="4">
        <f>SUM($C$2:C128)/COUNT($C$2:C128)</f>
        <v>0.82044330708661417</v>
      </c>
      <c r="G128" s="65">
        <v>182</v>
      </c>
      <c r="H128" s="72">
        <v>288.74</v>
      </c>
      <c r="I128" s="73">
        <v>6</v>
      </c>
      <c r="J128" s="72">
        <v>675.50999999999988</v>
      </c>
      <c r="K128" s="73">
        <v>18</v>
      </c>
      <c r="L128" s="11">
        <v>374</v>
      </c>
      <c r="M128" s="14">
        <v>17</v>
      </c>
      <c r="N128" s="11">
        <v>5</v>
      </c>
      <c r="O128" s="3" t="s">
        <v>33</v>
      </c>
    </row>
    <row r="129" spans="1:15" ht="20.25" thickBot="1">
      <c r="A129" s="41"/>
      <c r="B129" s="17">
        <v>46240</v>
      </c>
      <c r="C129" s="6">
        <v>0.96589999999999998</v>
      </c>
      <c r="D129" s="30">
        <v>0.97070000000000001</v>
      </c>
      <c r="E129" s="4">
        <f>SUM($C$2:C129)/COUNT($C$2:C129)</f>
        <v>0.82157968749999999</v>
      </c>
      <c r="G129" s="65">
        <v>276</v>
      </c>
      <c r="H129" s="72">
        <v>745.43999999999983</v>
      </c>
      <c r="I129" s="73">
        <v>15</v>
      </c>
      <c r="J129" s="72">
        <v>105.72</v>
      </c>
      <c r="K129" s="73">
        <v>3</v>
      </c>
      <c r="L129" s="11">
        <v>418</v>
      </c>
      <c r="M129" s="14">
        <v>16</v>
      </c>
      <c r="N129" s="11">
        <v>7</v>
      </c>
      <c r="O129" s="3" t="s">
        <v>33</v>
      </c>
    </row>
    <row r="130" spans="1:15" ht="20.25" thickBot="1">
      <c r="A130" s="41"/>
      <c r="B130" s="17">
        <v>46241</v>
      </c>
      <c r="C130" s="6">
        <v>0.96589999999999998</v>
      </c>
      <c r="D130" s="30">
        <v>0.98160000000000003</v>
      </c>
      <c r="E130" s="4">
        <f>SUM($C$2:C130)/COUNT($C$2:C130)</f>
        <v>0.82269844961240313</v>
      </c>
      <c r="G130" s="65">
        <v>342</v>
      </c>
      <c r="H130" s="72">
        <v>475.64000000000004</v>
      </c>
      <c r="I130" s="73">
        <v>10</v>
      </c>
      <c r="J130" s="72">
        <v>373.92999999999995</v>
      </c>
      <c r="K130" s="73">
        <v>10</v>
      </c>
      <c r="L130" s="11">
        <v>214</v>
      </c>
      <c r="M130" s="14">
        <v>23</v>
      </c>
      <c r="N130" s="11">
        <v>9</v>
      </c>
      <c r="O130" s="3" t="s">
        <v>33</v>
      </c>
    </row>
    <row r="131" spans="1:15" ht="20.25" thickBot="1">
      <c r="A131" s="41"/>
      <c r="B131" s="17">
        <v>46242</v>
      </c>
      <c r="C131" s="6">
        <v>1.0468</v>
      </c>
      <c r="D131" s="30">
        <v>0.98619999999999997</v>
      </c>
      <c r="E131" s="4">
        <f>SUM($C$2:C131)/COUNT($C$2:C131)</f>
        <v>0.82442230769230773</v>
      </c>
      <c r="G131" s="65">
        <v>369</v>
      </c>
      <c r="H131" s="72">
        <v>750.78</v>
      </c>
      <c r="I131" s="73">
        <v>15</v>
      </c>
      <c r="J131" s="72">
        <v>423.09000000000003</v>
      </c>
      <c r="K131" s="73">
        <v>11</v>
      </c>
      <c r="L131" s="11">
        <v>372</v>
      </c>
      <c r="M131" s="14">
        <v>23</v>
      </c>
      <c r="N131" s="11">
        <v>9</v>
      </c>
      <c r="O131" s="3" t="s">
        <v>33</v>
      </c>
    </row>
    <row r="132" spans="1:15" ht="20.25" thickBot="1">
      <c r="A132" s="41"/>
      <c r="B132" s="17">
        <v>46243</v>
      </c>
      <c r="C132" s="6">
        <v>1.0348999999999999</v>
      </c>
      <c r="D132" s="30">
        <v>0.99160000000000004</v>
      </c>
      <c r="E132" s="4">
        <f>SUM($C$2:C132)/COUNT($C$2:C132)</f>
        <v>0.82602900763358778</v>
      </c>
      <c r="G132" s="65">
        <v>331</v>
      </c>
      <c r="H132" s="72">
        <v>0</v>
      </c>
      <c r="I132" s="73">
        <v>0</v>
      </c>
      <c r="J132" s="72">
        <v>35.33</v>
      </c>
      <c r="K132" s="73">
        <v>1</v>
      </c>
      <c r="L132" s="11">
        <v>279</v>
      </c>
      <c r="M132" s="14">
        <v>21</v>
      </c>
      <c r="N132" s="11">
        <v>9</v>
      </c>
      <c r="O132" s="3" t="s">
        <v>33</v>
      </c>
    </row>
    <row r="133" spans="1:15" ht="20.25" thickBot="1">
      <c r="A133" s="41"/>
      <c r="B133" s="17">
        <v>46244</v>
      </c>
      <c r="C133" s="6">
        <v>0.63180000000000003</v>
      </c>
      <c r="D133" s="30">
        <v>0.9556</v>
      </c>
      <c r="E133" s="4">
        <f>SUM($C$2:C133)/COUNT($C$2:C133)</f>
        <v>0.82455757575757571</v>
      </c>
      <c r="G133" s="65">
        <v>252</v>
      </c>
      <c r="H133" s="72">
        <v>970.55000000000007</v>
      </c>
      <c r="I133" s="73">
        <v>19</v>
      </c>
      <c r="J133" s="72">
        <v>324.64999999999998</v>
      </c>
      <c r="K133" s="73">
        <v>9</v>
      </c>
      <c r="L133" s="11">
        <v>106</v>
      </c>
      <c r="M133" s="14">
        <v>17</v>
      </c>
      <c r="N133" s="11">
        <v>8</v>
      </c>
      <c r="O133" s="3" t="s">
        <v>33</v>
      </c>
    </row>
    <row r="134" spans="1:15" ht="20.25" thickBot="1">
      <c r="A134" s="41"/>
      <c r="B134" s="17">
        <v>46245</v>
      </c>
      <c r="C134" s="6">
        <v>0.49330000000000002</v>
      </c>
      <c r="D134" s="30">
        <v>0.91359999999999997</v>
      </c>
      <c r="E134" s="4">
        <f>SUM($C$2:C134)/COUNT($C$2:C134)</f>
        <v>0.82206691729323311</v>
      </c>
      <c r="G134" s="65">
        <v>80</v>
      </c>
      <c r="H134" s="72">
        <v>189.10000000000002</v>
      </c>
      <c r="I134" s="73">
        <v>4</v>
      </c>
      <c r="J134" s="72">
        <v>259.87999999999994</v>
      </c>
      <c r="K134" s="73">
        <v>7</v>
      </c>
      <c r="L134" s="11">
        <v>358</v>
      </c>
      <c r="M134" s="14">
        <v>20</v>
      </c>
      <c r="N134" s="11">
        <v>2</v>
      </c>
      <c r="O134" s="3" t="s">
        <v>33</v>
      </c>
    </row>
    <row r="135" spans="1:15" ht="20.25" thickBot="1">
      <c r="A135" s="41"/>
      <c r="B135" s="17">
        <v>46246</v>
      </c>
      <c r="C135" s="6">
        <v>0.71220000000000006</v>
      </c>
      <c r="D135" s="30">
        <v>0.89680000000000004</v>
      </c>
      <c r="E135" s="4">
        <f>SUM($C$2:C135)/COUNT($C$2:C135)</f>
        <v>0.82124701492537311</v>
      </c>
      <c r="G135" s="65">
        <v>92</v>
      </c>
      <c r="H135" s="72">
        <v>106.22999999999999</v>
      </c>
      <c r="I135" s="73">
        <v>2</v>
      </c>
      <c r="J135" s="72">
        <v>649.71999999999991</v>
      </c>
      <c r="K135" s="73">
        <v>17</v>
      </c>
      <c r="L135" s="11">
        <v>570</v>
      </c>
      <c r="M135" s="14">
        <v>24</v>
      </c>
      <c r="N135" s="11">
        <v>3</v>
      </c>
      <c r="O135" s="3" t="s">
        <v>33</v>
      </c>
    </row>
    <row r="136" spans="1:15" ht="20.25" thickBot="1">
      <c r="A136" s="41"/>
      <c r="B136" s="17">
        <v>46247</v>
      </c>
      <c r="C136" s="6">
        <v>0.72860000000000003</v>
      </c>
      <c r="D136" s="30">
        <v>0.88390000000000002</v>
      </c>
      <c r="E136" s="4">
        <f>SUM($C$2:C136)/COUNT($C$2:C136)</f>
        <v>0.8205607407407407</v>
      </c>
      <c r="G136" s="65">
        <v>191</v>
      </c>
      <c r="H136" s="72">
        <v>316.02</v>
      </c>
      <c r="I136" s="73">
        <v>6</v>
      </c>
      <c r="J136" s="72">
        <v>632.49999999999989</v>
      </c>
      <c r="K136" s="73">
        <v>17</v>
      </c>
      <c r="L136" s="11">
        <v>292</v>
      </c>
      <c r="M136" s="14">
        <v>18</v>
      </c>
      <c r="N136" s="11">
        <v>5</v>
      </c>
      <c r="O136" s="3" t="s">
        <v>33</v>
      </c>
    </row>
    <row r="137" spans="1:15" ht="20.25" thickBot="1">
      <c r="A137" s="41"/>
      <c r="B137" s="17">
        <v>46248</v>
      </c>
      <c r="C137" s="6">
        <v>0.73250000000000004</v>
      </c>
      <c r="D137" s="30">
        <v>0.87309999999999999</v>
      </c>
      <c r="E137" s="4">
        <f>SUM($C$2:C137)/COUNT($C$2:C137)</f>
        <v>0.81991323529411764</v>
      </c>
      <c r="G137" s="65">
        <v>273</v>
      </c>
      <c r="H137" s="72">
        <v>322.16999999999996</v>
      </c>
      <c r="I137" s="73">
        <v>6</v>
      </c>
      <c r="J137" s="72">
        <v>469.58000000000004</v>
      </c>
      <c r="K137" s="73">
        <v>13</v>
      </c>
      <c r="L137" s="11">
        <v>314</v>
      </c>
      <c r="M137" s="14">
        <v>13</v>
      </c>
      <c r="N137" s="11">
        <v>7</v>
      </c>
      <c r="O137" s="3" t="s">
        <v>33</v>
      </c>
    </row>
    <row r="138" spans="1:15" ht="20.25" thickBot="1">
      <c r="A138" s="41"/>
      <c r="B138" s="17">
        <v>46249</v>
      </c>
      <c r="C138" s="6">
        <v>0.77349999999999997</v>
      </c>
      <c r="D138" s="30">
        <v>0.86639999999999995</v>
      </c>
      <c r="E138" s="4">
        <f>SUM($C$2:C138)/COUNT($C$2:C138)</f>
        <v>0.81957445255474448</v>
      </c>
      <c r="G138" s="65">
        <v>150</v>
      </c>
      <c r="H138" s="72">
        <v>0</v>
      </c>
      <c r="I138" s="73">
        <v>0</v>
      </c>
      <c r="J138" s="72">
        <v>0</v>
      </c>
      <c r="K138" s="73">
        <v>0</v>
      </c>
      <c r="L138" s="11">
        <v>333</v>
      </c>
      <c r="M138" s="14">
        <v>23</v>
      </c>
      <c r="N138" s="11">
        <v>2</v>
      </c>
      <c r="O138" s="3" t="s">
        <v>33</v>
      </c>
    </row>
    <row r="139" spans="1:15" ht="20.25" thickBot="1">
      <c r="A139" s="41"/>
      <c r="B139" s="17">
        <v>46250</v>
      </c>
      <c r="C139" s="6">
        <v>0.75549999999999995</v>
      </c>
      <c r="D139" s="30">
        <v>0.85950000000000004</v>
      </c>
      <c r="E139" s="4">
        <f>SUM($C$2:C139)/COUNT($C$2:C139)</f>
        <v>0.8191101449275362</v>
      </c>
      <c r="G139" s="65">
        <v>179</v>
      </c>
      <c r="H139" s="72">
        <v>0</v>
      </c>
      <c r="I139" s="73">
        <v>0</v>
      </c>
      <c r="J139" s="72">
        <v>436.95</v>
      </c>
      <c r="K139" s="73">
        <v>11</v>
      </c>
      <c r="L139" s="11">
        <v>433</v>
      </c>
      <c r="M139" s="14">
        <v>18</v>
      </c>
      <c r="N139" s="11">
        <v>4</v>
      </c>
      <c r="O139" s="3" t="s">
        <v>33</v>
      </c>
    </row>
    <row r="140" spans="1:15" ht="20.25" thickBot="1">
      <c r="A140" s="41"/>
      <c r="B140" s="17">
        <v>46251</v>
      </c>
      <c r="C140" s="6">
        <v>0.73770000000000002</v>
      </c>
      <c r="D140" s="30">
        <v>0.85229999999999995</v>
      </c>
      <c r="E140" s="4">
        <f>SUM($C$2:C140)/COUNT($C$2:C140)</f>
        <v>0.81852446043165472</v>
      </c>
      <c r="G140" s="65">
        <v>206</v>
      </c>
      <c r="H140" s="72">
        <v>577.73</v>
      </c>
      <c r="I140" s="73">
        <v>11</v>
      </c>
      <c r="J140" s="72">
        <v>697.21999999999991</v>
      </c>
      <c r="K140" s="73">
        <v>18</v>
      </c>
      <c r="L140" s="11">
        <v>363</v>
      </c>
      <c r="M140" s="14">
        <v>18</v>
      </c>
      <c r="N140" s="11">
        <v>4</v>
      </c>
      <c r="O140" s="3" t="s">
        <v>33</v>
      </c>
    </row>
    <row r="141" spans="1:15" ht="20.25" thickBot="1">
      <c r="A141" s="41"/>
      <c r="B141" s="17">
        <v>46252</v>
      </c>
      <c r="C141" s="6">
        <v>0.75339999999999996</v>
      </c>
      <c r="D141" s="30">
        <v>0.8468</v>
      </c>
      <c r="E141" s="4">
        <f>SUM($C$2:C141)/COUNT($C$2:C141)</f>
        <v>0.81805928571428577</v>
      </c>
      <c r="G141" s="65">
        <v>363</v>
      </c>
      <c r="H141" s="72">
        <v>293.79000000000002</v>
      </c>
      <c r="I141" s="73">
        <v>6</v>
      </c>
      <c r="J141" s="72">
        <v>303.16000000000003</v>
      </c>
      <c r="K141" s="73">
        <v>8</v>
      </c>
      <c r="L141" s="11">
        <v>455</v>
      </c>
      <c r="M141" s="14">
        <v>24</v>
      </c>
      <c r="N141" s="11">
        <v>6</v>
      </c>
      <c r="O141" s="3" t="s">
        <v>33</v>
      </c>
    </row>
    <row r="142" spans="1:15" ht="20.25" thickBot="1">
      <c r="A142" s="41"/>
      <c r="B142" s="17">
        <v>46253</v>
      </c>
      <c r="C142" s="6">
        <v>0.71020000000000005</v>
      </c>
      <c r="D142" s="30">
        <v>0.83960000000000001</v>
      </c>
      <c r="E142" s="4">
        <f>SUM($C$2:C142)/COUNT($C$2:C142)</f>
        <v>0.81729432624113474</v>
      </c>
      <c r="G142" s="65">
        <v>274</v>
      </c>
      <c r="H142" s="72">
        <v>502.76000000000005</v>
      </c>
      <c r="I142" s="73">
        <v>9</v>
      </c>
      <c r="J142" s="72">
        <v>491.63000000000005</v>
      </c>
      <c r="K142" s="73">
        <v>13</v>
      </c>
      <c r="L142" s="11">
        <v>489</v>
      </c>
      <c r="M142" s="14">
        <v>12</v>
      </c>
      <c r="N142" s="11">
        <v>3</v>
      </c>
      <c r="O142" s="3" t="s">
        <v>33</v>
      </c>
    </row>
    <row r="143" spans="1:15" ht="20.25" thickBot="1">
      <c r="A143" s="41"/>
      <c r="B143" s="17">
        <v>46254</v>
      </c>
      <c r="C143" s="6">
        <v>0.69610000000000005</v>
      </c>
      <c r="D143" s="30">
        <v>0.83250000000000002</v>
      </c>
      <c r="E143" s="4">
        <f>SUM($C$2:C143)/COUNT($C$2:C143)</f>
        <v>0.81644084507042258</v>
      </c>
      <c r="G143" s="65">
        <v>272</v>
      </c>
      <c r="H143" s="72">
        <v>679.49000000000012</v>
      </c>
      <c r="I143" s="73">
        <v>14</v>
      </c>
      <c r="J143" s="72">
        <v>374.22000000000008</v>
      </c>
      <c r="K143" s="73">
        <v>10</v>
      </c>
      <c r="L143" s="11">
        <v>0</v>
      </c>
      <c r="M143" s="14">
        <v>0</v>
      </c>
      <c r="N143" s="11">
        <v>5</v>
      </c>
      <c r="O143" s="3" t="s">
        <v>33</v>
      </c>
    </row>
    <row r="144" spans="1:15" ht="20.25" thickBot="1">
      <c r="A144" s="41"/>
      <c r="B144" s="17">
        <v>46255</v>
      </c>
      <c r="C144" s="6">
        <v>0.71740000000000004</v>
      </c>
      <c r="D144" s="30">
        <v>0.82699999999999996</v>
      </c>
      <c r="E144" s="4">
        <f>SUM($C$2:C144)/COUNT($C$2:C144)</f>
        <v>0.81574825174825172</v>
      </c>
      <c r="G144" s="65">
        <v>244</v>
      </c>
      <c r="H144" s="72">
        <v>329.02</v>
      </c>
      <c r="I144" s="73">
        <v>6</v>
      </c>
      <c r="J144" s="72">
        <v>153.86000000000001</v>
      </c>
      <c r="K144" s="73">
        <v>4</v>
      </c>
      <c r="L144" s="11">
        <v>478</v>
      </c>
      <c r="M144" s="14">
        <v>14</v>
      </c>
      <c r="N144" s="11">
        <v>5</v>
      </c>
      <c r="O144" s="3" t="s">
        <v>33</v>
      </c>
    </row>
    <row r="145" spans="1:15" ht="20.25" thickBot="1">
      <c r="A145" s="41"/>
      <c r="B145" s="17">
        <v>46256</v>
      </c>
      <c r="C145" s="6">
        <v>0.97960000000000003</v>
      </c>
      <c r="D145" s="30">
        <v>0.83389999999999997</v>
      </c>
      <c r="E145" s="4">
        <f>SUM($C$2:C145)/COUNT($C$2:C145)</f>
        <v>0.8168861111111112</v>
      </c>
      <c r="G145" s="65">
        <v>351</v>
      </c>
      <c r="H145" s="72">
        <v>398.52</v>
      </c>
      <c r="I145" s="73">
        <v>8</v>
      </c>
      <c r="J145" s="72">
        <v>792.66</v>
      </c>
      <c r="K145" s="73">
        <v>21</v>
      </c>
      <c r="L145" s="11">
        <v>846</v>
      </c>
      <c r="M145" s="14">
        <v>23</v>
      </c>
      <c r="N145" s="11">
        <v>5</v>
      </c>
      <c r="O145" s="3" t="s">
        <v>33</v>
      </c>
    </row>
    <row r="146" spans="1:15" ht="20.25" thickBot="1">
      <c r="A146" s="41"/>
      <c r="B146" s="17">
        <v>46257</v>
      </c>
      <c r="C146" s="6">
        <v>0.9365</v>
      </c>
      <c r="D146" s="30">
        <v>0.83840000000000003</v>
      </c>
      <c r="E146" s="4">
        <f>SUM($C$2:C146)/COUNT($C$2:C146)</f>
        <v>0.81771103448275861</v>
      </c>
      <c r="G146" s="65">
        <v>412</v>
      </c>
      <c r="H146" s="72">
        <v>0</v>
      </c>
      <c r="I146" s="73">
        <v>0</v>
      </c>
      <c r="J146" s="72">
        <v>0</v>
      </c>
      <c r="K146" s="73">
        <v>0</v>
      </c>
      <c r="L146" s="11">
        <v>63</v>
      </c>
      <c r="M146" s="14">
        <v>2</v>
      </c>
      <c r="N146" s="11">
        <v>8</v>
      </c>
      <c r="O146" s="3" t="s">
        <v>33</v>
      </c>
    </row>
    <row r="147" spans="1:15" ht="20.25" thickBot="1">
      <c r="A147" s="41"/>
      <c r="B147" s="17">
        <v>46258</v>
      </c>
      <c r="C147" s="6">
        <v>0.96260000000000001</v>
      </c>
      <c r="D147" s="30">
        <v>0.84360000000000002</v>
      </c>
      <c r="E147" s="4">
        <f>SUM($C$2:C147)/COUNT($C$2:C147)</f>
        <v>0.81870342465753421</v>
      </c>
      <c r="G147" s="65">
        <v>495</v>
      </c>
      <c r="H147" s="72">
        <v>1072.08</v>
      </c>
      <c r="I147" s="73">
        <v>19</v>
      </c>
      <c r="J147" s="72">
        <v>430.44</v>
      </c>
      <c r="K147" s="73">
        <v>11</v>
      </c>
      <c r="L147" s="11">
        <v>370</v>
      </c>
      <c r="M147" s="14">
        <v>13</v>
      </c>
      <c r="N147" s="11">
        <v>8</v>
      </c>
      <c r="O147" s="3" t="s">
        <v>33</v>
      </c>
    </row>
    <row r="148" spans="1:15" ht="20.25" thickBot="1">
      <c r="A148" s="41"/>
      <c r="B148" s="17">
        <v>46259</v>
      </c>
      <c r="C148" s="6">
        <v>0.97799999999999998</v>
      </c>
      <c r="D148" s="30">
        <v>0.84889999999999999</v>
      </c>
      <c r="E148" s="4">
        <f>SUM($C$2:C148)/COUNT($C$2:C148)</f>
        <v>0.81978707482993196</v>
      </c>
      <c r="G148" s="65">
        <v>551</v>
      </c>
      <c r="H148" s="72">
        <v>376.77000000000004</v>
      </c>
      <c r="I148" s="73">
        <v>7</v>
      </c>
      <c r="J148" s="72">
        <v>692.73000000000013</v>
      </c>
      <c r="K148" s="73">
        <v>18</v>
      </c>
      <c r="L148" s="11">
        <v>665</v>
      </c>
      <c r="M148" s="14">
        <v>21</v>
      </c>
      <c r="N148" s="11">
        <v>10</v>
      </c>
      <c r="O148" s="3" t="s">
        <v>33</v>
      </c>
    </row>
    <row r="149" spans="1:15" ht="20.25" thickBot="1">
      <c r="A149" s="41"/>
      <c r="B149" s="17">
        <v>46260</v>
      </c>
      <c r="C149" s="6">
        <v>1.0039</v>
      </c>
      <c r="D149" s="30">
        <v>0.85489999999999999</v>
      </c>
      <c r="E149" s="4">
        <f>SUM($C$2:C149)/COUNT($C$2:C149)</f>
        <v>0.82103108108108103</v>
      </c>
      <c r="G149" s="65">
        <v>384</v>
      </c>
      <c r="H149" s="72">
        <v>1065.5800000000002</v>
      </c>
      <c r="I149" s="73">
        <v>19</v>
      </c>
      <c r="J149" s="72">
        <v>725.95</v>
      </c>
      <c r="K149" s="73">
        <v>19</v>
      </c>
      <c r="L149" s="11">
        <v>277</v>
      </c>
      <c r="M149" s="14">
        <v>18</v>
      </c>
      <c r="N149" s="11">
        <v>8</v>
      </c>
      <c r="O149" s="3" t="s">
        <v>33</v>
      </c>
    </row>
    <row r="150" spans="1:15" ht="20.25" thickBot="1">
      <c r="A150" s="41"/>
      <c r="B150" s="17">
        <v>46261</v>
      </c>
      <c r="C150" s="6">
        <v>0.83160000000000001</v>
      </c>
      <c r="D150" s="30">
        <v>0.85399999999999998</v>
      </c>
      <c r="E150" s="4">
        <f>SUM($C$2:C150)/COUNT($C$2:C150)</f>
        <v>0.82110201342281874</v>
      </c>
      <c r="G150" s="65">
        <v>314</v>
      </c>
      <c r="H150" s="72">
        <v>439.84999999999997</v>
      </c>
      <c r="I150" s="73">
        <v>8</v>
      </c>
      <c r="J150" s="72">
        <v>0</v>
      </c>
      <c r="K150" s="73">
        <v>0</v>
      </c>
      <c r="L150" s="11">
        <v>147</v>
      </c>
      <c r="M150" s="14">
        <v>14</v>
      </c>
      <c r="N150" s="11">
        <v>7</v>
      </c>
      <c r="O150" s="3" t="s">
        <v>33</v>
      </c>
    </row>
    <row r="151" spans="1:15" ht="20.25" thickBot="1">
      <c r="A151" s="41"/>
      <c r="B151" s="17">
        <v>46262</v>
      </c>
      <c r="C151" s="6">
        <v>0.63280000000000003</v>
      </c>
      <c r="D151" s="30">
        <v>0.84609999999999996</v>
      </c>
      <c r="E151" s="4">
        <f>SUM($C$2:C151)/COUNT($C$2:C151)</f>
        <v>0.81984666666666661</v>
      </c>
      <c r="G151" s="65">
        <v>200</v>
      </c>
      <c r="H151" s="72">
        <v>0</v>
      </c>
      <c r="I151" s="73">
        <v>0</v>
      </c>
      <c r="J151" s="72">
        <v>299.59999999999997</v>
      </c>
      <c r="K151" s="73">
        <v>8</v>
      </c>
      <c r="L151" s="11">
        <v>413</v>
      </c>
      <c r="M151" s="14">
        <v>16</v>
      </c>
      <c r="N151" s="11">
        <v>5</v>
      </c>
      <c r="O151" s="3" t="s">
        <v>33</v>
      </c>
    </row>
    <row r="152" spans="1:15" ht="20.25" thickBot="1">
      <c r="A152" s="41"/>
      <c r="B152" s="17">
        <v>46263</v>
      </c>
      <c r="C152" s="6">
        <v>0.64680000000000004</v>
      </c>
      <c r="D152" s="30">
        <v>0.83930000000000005</v>
      </c>
      <c r="E152" s="4">
        <f>SUM($C$2:C152)/COUNT($C$2:C152)</f>
        <v>0.81870066225165561</v>
      </c>
      <c r="G152" s="65">
        <v>320</v>
      </c>
      <c r="H152" s="72">
        <v>708.96</v>
      </c>
      <c r="I152" s="73">
        <v>13</v>
      </c>
      <c r="J152" s="72">
        <v>263.51</v>
      </c>
      <c r="K152" s="73">
        <v>7</v>
      </c>
      <c r="L152" s="11">
        <v>518</v>
      </c>
      <c r="M152" s="14">
        <v>17</v>
      </c>
      <c r="N152" s="11">
        <v>8</v>
      </c>
      <c r="O152" s="3" t="s">
        <v>33</v>
      </c>
    </row>
    <row r="153" spans="1:15" ht="20.25" thickBot="1">
      <c r="A153" s="41"/>
      <c r="B153" s="17">
        <v>46264</v>
      </c>
      <c r="C153" s="6">
        <v>0.72440000000000004</v>
      </c>
      <c r="D153" s="30">
        <v>0.83540000000000003</v>
      </c>
      <c r="E153" s="4">
        <f>SUM($C$2:C153)/COUNT($C$2:C153)</f>
        <v>0.81808026315789473</v>
      </c>
      <c r="G153" s="65">
        <v>104</v>
      </c>
      <c r="H153" s="72">
        <v>0</v>
      </c>
      <c r="I153" s="73">
        <v>0</v>
      </c>
      <c r="J153" s="72">
        <v>0</v>
      </c>
      <c r="K153" s="73">
        <v>0</v>
      </c>
      <c r="L153" s="11">
        <v>665</v>
      </c>
      <c r="M153" s="14">
        <v>17</v>
      </c>
      <c r="N153" s="11">
        <v>3</v>
      </c>
      <c r="O153" s="3" t="s">
        <v>33</v>
      </c>
    </row>
    <row r="154" spans="1:15" ht="20.25" thickBot="1">
      <c r="A154" s="42"/>
      <c r="B154" s="17">
        <v>46265</v>
      </c>
      <c r="C154" s="6">
        <v>0.71350000000000002</v>
      </c>
      <c r="D154" s="30">
        <v>0.83150000000000002</v>
      </c>
      <c r="E154" s="4">
        <f>SUM($C$2:C154)/COUNT($C$2:C154)</f>
        <v>0.81739673202614371</v>
      </c>
      <c r="G154" s="65">
        <v>315</v>
      </c>
      <c r="H154" s="72">
        <v>599.0100000000001</v>
      </c>
      <c r="I154" s="73">
        <v>12</v>
      </c>
      <c r="J154" s="72">
        <v>146.83999999999997</v>
      </c>
      <c r="K154" s="73">
        <v>4</v>
      </c>
      <c r="L154" s="11">
        <v>630</v>
      </c>
      <c r="M154" s="14">
        <v>15</v>
      </c>
      <c r="N154" s="11">
        <v>6</v>
      </c>
      <c r="O154" s="3" t="s">
        <v>33</v>
      </c>
    </row>
    <row r="155" spans="1:15" ht="20.25" thickBot="1">
      <c r="A155" s="40" t="s">
        <v>35</v>
      </c>
      <c r="B155" s="17">
        <v>46266</v>
      </c>
      <c r="C155" s="6">
        <v>0.72350000000000003</v>
      </c>
      <c r="D155" s="29">
        <v>0.72350000000000003</v>
      </c>
      <c r="E155" s="4">
        <f>SUM($C$2:C155)/COUNT($C$2:C155)</f>
        <v>0.81678701298701295</v>
      </c>
      <c r="G155" s="65">
        <v>269</v>
      </c>
      <c r="H155" s="74">
        <v>543.5</v>
      </c>
      <c r="I155" s="75">
        <v>10</v>
      </c>
      <c r="J155" s="74">
        <v>372.94</v>
      </c>
      <c r="K155" s="75">
        <v>10</v>
      </c>
      <c r="L155" s="11">
        <v>640</v>
      </c>
      <c r="M155" s="14">
        <v>22</v>
      </c>
      <c r="N155" s="11">
        <v>5</v>
      </c>
      <c r="O155" s="3" t="s">
        <v>33</v>
      </c>
    </row>
    <row r="156" spans="1:15" ht="20.25" thickBot="1">
      <c r="A156" s="41"/>
      <c r="B156" s="17">
        <v>46267</v>
      </c>
      <c r="C156" s="6">
        <v>0.67200000000000004</v>
      </c>
      <c r="D156" s="30">
        <v>0.69769999999999999</v>
      </c>
      <c r="E156" s="4">
        <f>SUM($C$2:C156)/COUNT($C$2:C156)</f>
        <v>0.81585290322580639</v>
      </c>
      <c r="G156" s="65">
        <v>214</v>
      </c>
      <c r="H156" s="72">
        <v>471.48000000000008</v>
      </c>
      <c r="I156" s="73">
        <v>9</v>
      </c>
      <c r="J156" s="72">
        <v>334.22</v>
      </c>
      <c r="K156" s="73">
        <v>9</v>
      </c>
      <c r="L156" s="11">
        <v>285</v>
      </c>
      <c r="M156" s="14">
        <v>8</v>
      </c>
      <c r="N156" s="11">
        <v>8</v>
      </c>
      <c r="O156" s="3" t="s">
        <v>33</v>
      </c>
    </row>
    <row r="157" spans="1:15" ht="20.25" thickBot="1">
      <c r="A157" s="41"/>
      <c r="B157" s="17">
        <v>46268</v>
      </c>
      <c r="C157" s="6">
        <v>0.67459999999999998</v>
      </c>
      <c r="D157" s="30">
        <v>0.69</v>
      </c>
      <c r="E157" s="4">
        <f>SUM($C$2:C157)/COUNT($C$2:C157)</f>
        <v>0.81494743589743579</v>
      </c>
      <c r="G157" s="65">
        <v>217</v>
      </c>
      <c r="H157" s="72">
        <v>403.98</v>
      </c>
      <c r="I157" s="73">
        <v>7</v>
      </c>
      <c r="J157" s="72">
        <v>260.72999999999996</v>
      </c>
      <c r="K157" s="73">
        <v>7</v>
      </c>
      <c r="L157" s="11">
        <v>400</v>
      </c>
      <c r="M157" s="14">
        <v>11</v>
      </c>
      <c r="N157" s="11">
        <v>6</v>
      </c>
      <c r="O157" s="3" t="s">
        <v>33</v>
      </c>
    </row>
    <row r="158" spans="1:15" ht="20.25" thickBot="1">
      <c r="A158" s="41"/>
      <c r="B158" s="17">
        <v>46269</v>
      </c>
      <c r="C158" s="6">
        <v>0.68459999999999999</v>
      </c>
      <c r="D158" s="30">
        <v>0.68869999999999998</v>
      </c>
      <c r="E158" s="4">
        <f>SUM($C$2:C158)/COUNT($C$2:C158)</f>
        <v>0.81411719745222921</v>
      </c>
      <c r="G158" s="65">
        <v>218</v>
      </c>
      <c r="H158" s="72">
        <v>239.34</v>
      </c>
      <c r="I158" s="73">
        <v>4</v>
      </c>
      <c r="J158" s="72">
        <v>679.05</v>
      </c>
      <c r="K158" s="73">
        <v>18</v>
      </c>
      <c r="L158" s="11">
        <v>443</v>
      </c>
      <c r="M158" s="14">
        <v>12</v>
      </c>
      <c r="N158" s="11">
        <v>6</v>
      </c>
      <c r="O158" s="3" t="s">
        <v>33</v>
      </c>
    </row>
    <row r="159" spans="1:15" ht="20.25" thickBot="1">
      <c r="A159" s="41"/>
      <c r="B159" s="17">
        <v>46270</v>
      </c>
      <c r="C159" s="6">
        <v>0.68110000000000004</v>
      </c>
      <c r="D159" s="30">
        <v>0.68720000000000003</v>
      </c>
      <c r="E159" s="4">
        <f>SUM($C$2:C159)/COUNT($C$2:C159)</f>
        <v>0.81327531645569606</v>
      </c>
      <c r="G159" s="65">
        <v>144</v>
      </c>
      <c r="H159" s="72">
        <v>218.32</v>
      </c>
      <c r="I159" s="73">
        <v>4</v>
      </c>
      <c r="J159" s="72">
        <v>419.11999999999989</v>
      </c>
      <c r="K159" s="73">
        <v>11</v>
      </c>
      <c r="L159" s="11">
        <v>333</v>
      </c>
      <c r="M159" s="14">
        <v>10</v>
      </c>
      <c r="N159" s="11">
        <v>6</v>
      </c>
      <c r="O159" s="3" t="s">
        <v>33</v>
      </c>
    </row>
    <row r="160" spans="1:15" ht="20.25" thickBot="1">
      <c r="A160" s="41"/>
      <c r="B160" s="17">
        <v>46271</v>
      </c>
      <c r="C160" s="6">
        <v>0.70620000000000005</v>
      </c>
      <c r="D160" s="30">
        <v>0.69030000000000002</v>
      </c>
      <c r="E160" s="4">
        <f>SUM($C$2:C160)/COUNT($C$2:C160)</f>
        <v>0.8126018867924526</v>
      </c>
      <c r="G160" s="65">
        <v>358</v>
      </c>
      <c r="H160" s="72">
        <v>0</v>
      </c>
      <c r="I160" s="73">
        <v>0</v>
      </c>
      <c r="J160" s="72">
        <v>0</v>
      </c>
      <c r="K160" s="73">
        <v>0</v>
      </c>
      <c r="L160" s="11">
        <v>183</v>
      </c>
      <c r="M160" s="14">
        <v>5</v>
      </c>
      <c r="N160" s="11">
        <v>9</v>
      </c>
      <c r="O160" s="3" t="s">
        <v>33</v>
      </c>
    </row>
    <row r="161" spans="1:15" ht="20.25" thickBot="1">
      <c r="A161" s="41"/>
      <c r="B161" s="17">
        <v>46272</v>
      </c>
      <c r="C161" s="6">
        <v>0.69499999999999995</v>
      </c>
      <c r="D161" s="30">
        <v>0.69099999999999995</v>
      </c>
      <c r="E161" s="4">
        <f>SUM($C$2:C161)/COUNT($C$2:C161)</f>
        <v>0.81186687499999977</v>
      </c>
      <c r="G161" s="65">
        <v>220</v>
      </c>
      <c r="H161" s="72">
        <v>629.87</v>
      </c>
      <c r="I161" s="73">
        <v>11</v>
      </c>
      <c r="J161" s="72">
        <v>738.02000000000021</v>
      </c>
      <c r="K161" s="73">
        <v>19</v>
      </c>
      <c r="L161" s="11">
        <v>319</v>
      </c>
      <c r="M161" s="14">
        <v>9</v>
      </c>
      <c r="N161" s="11">
        <v>7</v>
      </c>
      <c r="O161" s="3" t="s">
        <v>33</v>
      </c>
    </row>
    <row r="162" spans="1:15" ht="20.25" thickBot="1">
      <c r="A162" s="41"/>
      <c r="B162" s="17">
        <v>46273</v>
      </c>
      <c r="C162" s="6">
        <v>0.76690000000000003</v>
      </c>
      <c r="D162" s="30">
        <v>0.70050000000000001</v>
      </c>
      <c r="E162" s="4">
        <f>SUM($C$2:C162)/COUNT($C$2:C162)</f>
        <v>0.81158757763975131</v>
      </c>
      <c r="G162" s="65">
        <v>153</v>
      </c>
      <c r="H162" s="72">
        <v>227.9</v>
      </c>
      <c r="I162" s="73">
        <v>4</v>
      </c>
      <c r="J162" s="72">
        <v>476.78</v>
      </c>
      <c r="K162" s="73">
        <v>13</v>
      </c>
      <c r="L162" s="11">
        <v>668</v>
      </c>
      <c r="M162" s="14">
        <v>18</v>
      </c>
      <c r="N162" s="11">
        <v>5</v>
      </c>
      <c r="O162" s="3" t="s">
        <v>33</v>
      </c>
    </row>
    <row r="163" spans="1:15" ht="20.25" thickBot="1">
      <c r="A163" s="41"/>
      <c r="B163" s="17">
        <v>46274</v>
      </c>
      <c r="C163" s="6">
        <v>0.93799999999999994</v>
      </c>
      <c r="D163" s="30">
        <v>0.72689999999999999</v>
      </c>
      <c r="E163" s="4">
        <f>SUM($C$2:C163)/COUNT($C$2:C163)</f>
        <v>0.81236790123456759</v>
      </c>
      <c r="G163" s="65">
        <v>374</v>
      </c>
      <c r="H163" s="72">
        <v>802.78</v>
      </c>
      <c r="I163" s="73">
        <v>15</v>
      </c>
      <c r="J163" s="72">
        <v>218.42000000000002</v>
      </c>
      <c r="K163" s="73">
        <v>6</v>
      </c>
      <c r="L163" s="11">
        <v>535</v>
      </c>
      <c r="M163" s="14">
        <v>18</v>
      </c>
      <c r="N163" s="11">
        <v>14</v>
      </c>
      <c r="O163" s="3" t="s">
        <v>33</v>
      </c>
    </row>
    <row r="164" spans="1:15" ht="20.25" thickBot="1">
      <c r="A164" s="41"/>
      <c r="B164" s="17">
        <v>46275</v>
      </c>
      <c r="C164" s="6">
        <v>0.92620000000000002</v>
      </c>
      <c r="D164" s="30">
        <v>0.74680000000000002</v>
      </c>
      <c r="E164" s="4">
        <f>SUM($C$2:C164)/COUNT($C$2:C164)</f>
        <v>0.81306625766871132</v>
      </c>
      <c r="G164" s="65">
        <v>285</v>
      </c>
      <c r="H164" s="72">
        <v>157.01</v>
      </c>
      <c r="I164" s="73">
        <v>3</v>
      </c>
      <c r="J164" s="72">
        <v>574.29999999999995</v>
      </c>
      <c r="K164" s="73">
        <v>16</v>
      </c>
      <c r="L164" s="11">
        <v>488</v>
      </c>
      <c r="M164" s="64">
        <v>20</v>
      </c>
      <c r="N164" s="64">
        <v>9</v>
      </c>
      <c r="O164" s="3" t="s">
        <v>33</v>
      </c>
    </row>
    <row r="165" spans="1:15" ht="20.25" thickBot="1">
      <c r="A165" s="41"/>
      <c r="B165" s="17">
        <v>46276</v>
      </c>
      <c r="C165" s="6">
        <v>1.0194000000000001</v>
      </c>
      <c r="D165" s="30">
        <v>0.77159999999999995</v>
      </c>
      <c r="E165" s="4">
        <f>SUM($C$2:C165)/COUNT($C$2:C165)</f>
        <v>0.81432439024390202</v>
      </c>
      <c r="G165" s="65">
        <v>426</v>
      </c>
      <c r="H165" s="72">
        <v>159.19999999999999</v>
      </c>
      <c r="I165" s="73">
        <v>3</v>
      </c>
      <c r="J165" s="72">
        <v>264.32</v>
      </c>
      <c r="K165" s="73">
        <v>7</v>
      </c>
      <c r="L165" s="11">
        <v>157</v>
      </c>
      <c r="M165" s="65">
        <v>5</v>
      </c>
      <c r="N165" s="65">
        <v>13</v>
      </c>
      <c r="O165" s="3" t="s">
        <v>33</v>
      </c>
    </row>
    <row r="166" spans="1:15" ht="20.25" thickBot="1">
      <c r="A166" s="41"/>
      <c r="B166" s="17">
        <v>46277</v>
      </c>
      <c r="C166" s="6">
        <v>0.92479999999999996</v>
      </c>
      <c r="D166" s="30">
        <v>0.78439999999999999</v>
      </c>
      <c r="E166" s="4">
        <f>SUM($C$2:C166)/COUNT($C$2:C166)</f>
        <v>0.81499393939393894</v>
      </c>
      <c r="G166" s="65">
        <v>240</v>
      </c>
      <c r="H166" s="72">
        <v>586.39</v>
      </c>
      <c r="I166" s="73">
        <v>11</v>
      </c>
      <c r="J166" s="72">
        <v>265.51</v>
      </c>
      <c r="K166" s="73">
        <v>7</v>
      </c>
      <c r="L166" s="11">
        <v>26</v>
      </c>
      <c r="M166" s="65">
        <v>1</v>
      </c>
      <c r="N166" s="65">
        <v>8</v>
      </c>
      <c r="O166" s="3" t="s">
        <v>33</v>
      </c>
    </row>
    <row r="167" spans="1:15" ht="20.25" thickBot="1">
      <c r="A167" s="41"/>
      <c r="B167" s="17">
        <v>46278</v>
      </c>
      <c r="C167" s="6">
        <v>0.94189999999999996</v>
      </c>
      <c r="D167" s="30">
        <v>0.79649999999999999</v>
      </c>
      <c r="E167" s="4">
        <f>SUM($C$2:C167)/COUNT($C$2:C167)</f>
        <v>0.81575843373493939</v>
      </c>
      <c r="F167" s="8">
        <v>5327</v>
      </c>
      <c r="G167" s="65">
        <v>93</v>
      </c>
      <c r="H167" s="72">
        <v>0</v>
      </c>
      <c r="I167" s="73">
        <v>0</v>
      </c>
      <c r="J167" s="72">
        <v>0</v>
      </c>
      <c r="K167" s="73">
        <v>0</v>
      </c>
      <c r="L167" s="11">
        <v>202</v>
      </c>
      <c r="M167" s="65">
        <v>7</v>
      </c>
      <c r="N167" s="65">
        <v>2</v>
      </c>
      <c r="O167" s="3" t="s">
        <v>33</v>
      </c>
    </row>
    <row r="168" spans="1:15" ht="20.25" thickBot="1">
      <c r="A168" s="41"/>
      <c r="B168" s="17">
        <v>46279</v>
      </c>
      <c r="C168" s="6">
        <v>0.99070000000000003</v>
      </c>
      <c r="D168" s="30">
        <v>0.81040000000000001</v>
      </c>
      <c r="E168" s="4">
        <f>SUM($C$2:C168)/COUNT($C$2:C168)</f>
        <v>0.81680598802395177</v>
      </c>
      <c r="F168" s="9">
        <v>5615</v>
      </c>
      <c r="G168" s="65">
        <v>435</v>
      </c>
      <c r="H168" s="72">
        <v>856.61</v>
      </c>
      <c r="I168" s="73">
        <v>16</v>
      </c>
      <c r="J168" s="72">
        <v>593.94000000000005</v>
      </c>
      <c r="K168" s="73">
        <v>16</v>
      </c>
      <c r="L168" s="11">
        <v>683</v>
      </c>
      <c r="M168" s="65">
        <v>24</v>
      </c>
      <c r="N168" s="65">
        <v>14</v>
      </c>
      <c r="O168" s="3" t="s">
        <v>33</v>
      </c>
    </row>
    <row r="169" spans="1:15" ht="20.25" thickBot="1">
      <c r="A169" s="41"/>
      <c r="B169" s="17">
        <v>46280</v>
      </c>
      <c r="C169" s="6">
        <v>0.94040000000000001</v>
      </c>
      <c r="D169" s="30">
        <v>0.81899999999999995</v>
      </c>
      <c r="E169" s="4">
        <f>SUM($C$2:C169)/COUNT($C$2:C169)</f>
        <v>0.81754166666666639</v>
      </c>
      <c r="F169" s="9">
        <v>5910</v>
      </c>
      <c r="G169" s="65">
        <v>356</v>
      </c>
      <c r="H169" s="72">
        <v>0</v>
      </c>
      <c r="I169" s="73">
        <v>0</v>
      </c>
      <c r="J169" s="72">
        <v>484.51</v>
      </c>
      <c r="K169" s="73">
        <v>13</v>
      </c>
      <c r="L169" s="11">
        <v>443</v>
      </c>
      <c r="M169" s="65">
        <v>18</v>
      </c>
      <c r="N169" s="65">
        <v>10</v>
      </c>
      <c r="O169" s="3" t="s">
        <v>33</v>
      </c>
    </row>
    <row r="170" spans="1:15" ht="20.25" thickBot="1">
      <c r="A170" s="41"/>
      <c r="B170" s="17">
        <v>46281</v>
      </c>
      <c r="C170" s="6">
        <v>0.93799999999999994</v>
      </c>
      <c r="D170" s="30">
        <v>0.82650000000000001</v>
      </c>
      <c r="E170" s="4">
        <f>SUM($C$2:C170)/COUNT($C$2:C170)</f>
        <v>0.8182544378698221</v>
      </c>
      <c r="F170" s="9">
        <v>5811</v>
      </c>
      <c r="G170" s="65">
        <v>337</v>
      </c>
      <c r="H170" s="72">
        <v>363.53999999999996</v>
      </c>
      <c r="I170" s="73">
        <v>8</v>
      </c>
      <c r="J170" s="72">
        <v>800.56000000000006</v>
      </c>
      <c r="K170" s="73">
        <v>22</v>
      </c>
      <c r="L170" s="11">
        <v>184</v>
      </c>
      <c r="M170" s="65">
        <v>7</v>
      </c>
      <c r="N170" s="65">
        <v>10</v>
      </c>
      <c r="O170" s="3" t="s">
        <v>33</v>
      </c>
    </row>
    <row r="171" spans="1:15" ht="20.25" thickBot="1">
      <c r="A171" s="41"/>
      <c r="B171" s="17">
        <v>46282</v>
      </c>
      <c r="C171" s="6">
        <v>0.96750000000000003</v>
      </c>
      <c r="D171" s="30">
        <v>0.83479999999999999</v>
      </c>
      <c r="E171" s="4">
        <f>SUM($C$2:C171)/COUNT($C$2:C171)</f>
        <v>0.81913235294117615</v>
      </c>
      <c r="F171" s="9">
        <v>6307</v>
      </c>
      <c r="G171" s="65">
        <v>321</v>
      </c>
      <c r="H171" s="72">
        <v>0</v>
      </c>
      <c r="I171" s="73">
        <v>0</v>
      </c>
      <c r="J171" s="72">
        <v>0</v>
      </c>
      <c r="K171" s="73">
        <v>0</v>
      </c>
      <c r="L171" s="11">
        <v>706</v>
      </c>
      <c r="M171" s="65">
        <v>24</v>
      </c>
      <c r="N171" s="65">
        <v>9</v>
      </c>
      <c r="O171" s="3" t="s">
        <v>33</v>
      </c>
    </row>
    <row r="172" spans="1:15" ht="20.25" thickBot="1">
      <c r="A172" s="41"/>
      <c r="B172" s="17">
        <v>46283</v>
      </c>
      <c r="C172" s="6">
        <v>0.93959999999999999</v>
      </c>
      <c r="D172" s="30">
        <v>0.84060000000000001</v>
      </c>
      <c r="E172" s="4">
        <f>SUM($C$2:C172)/COUNT($C$2:C172)</f>
        <v>0.81983684210526286</v>
      </c>
      <c r="F172" s="9">
        <v>6413</v>
      </c>
      <c r="G172" s="65">
        <v>385</v>
      </c>
      <c r="H172" s="72">
        <v>360.77000000000004</v>
      </c>
      <c r="I172" s="73">
        <v>7</v>
      </c>
      <c r="J172" s="72">
        <v>478.97</v>
      </c>
      <c r="K172" s="73">
        <v>12</v>
      </c>
      <c r="L172" s="11">
        <v>314</v>
      </c>
      <c r="M172" s="65">
        <v>14</v>
      </c>
      <c r="N172" s="65">
        <v>11</v>
      </c>
      <c r="O172" s="3" t="s">
        <v>33</v>
      </c>
    </row>
    <row r="173" spans="1:15" ht="20.25" thickBot="1">
      <c r="A173" s="41"/>
      <c r="B173" s="17">
        <v>46284</v>
      </c>
      <c r="C173" s="6">
        <v>0.81840000000000002</v>
      </c>
      <c r="D173" s="30">
        <v>0.83940000000000003</v>
      </c>
      <c r="E173" s="4">
        <f>SUM($C$2:C173)/COUNT($C$2:C173)</f>
        <v>0.81982848837209277</v>
      </c>
      <c r="F173" s="9">
        <v>4603</v>
      </c>
      <c r="G173" s="65">
        <v>199</v>
      </c>
      <c r="H173" s="72">
        <v>409.14999999999992</v>
      </c>
      <c r="I173" s="73">
        <v>8</v>
      </c>
      <c r="J173" s="72">
        <v>564.99</v>
      </c>
      <c r="K173" s="73">
        <v>15</v>
      </c>
      <c r="L173" s="11">
        <v>0</v>
      </c>
      <c r="M173" s="65">
        <v>0</v>
      </c>
      <c r="N173" s="65">
        <v>8</v>
      </c>
      <c r="O173" s="3" t="s">
        <v>33</v>
      </c>
    </row>
    <row r="174" spans="1:15" ht="20.25" thickBot="1">
      <c r="A174" s="41"/>
      <c r="B174" s="17">
        <v>46285</v>
      </c>
      <c r="C174" s="6">
        <v>0.90839999999999999</v>
      </c>
      <c r="D174" s="31">
        <v>0.84289999999999998</v>
      </c>
      <c r="E174" s="4">
        <f>SUM($C$2:C174)/COUNT($C$2:C174)</f>
        <v>0.82034046242774539</v>
      </c>
      <c r="F174" s="9">
        <v>4374</v>
      </c>
      <c r="G174" s="65">
        <v>266</v>
      </c>
      <c r="H174" s="72">
        <v>0</v>
      </c>
      <c r="I174" s="73">
        <v>0</v>
      </c>
      <c r="J174" s="72">
        <v>0</v>
      </c>
      <c r="K174" s="73">
        <v>0</v>
      </c>
      <c r="L174" s="11">
        <v>0</v>
      </c>
      <c r="M174" s="65">
        <v>0</v>
      </c>
      <c r="N174" s="65">
        <v>8</v>
      </c>
      <c r="O174" s="3" t="s">
        <v>33</v>
      </c>
    </row>
    <row r="175" spans="1:15" ht="20.25" thickBot="1">
      <c r="A175" s="41"/>
      <c r="B175" s="17">
        <v>46286</v>
      </c>
      <c r="C175" s="6">
        <v>0.94620000000000004</v>
      </c>
      <c r="D175" s="31">
        <v>0.8478</v>
      </c>
      <c r="E175" s="4">
        <f>SUM($C$2:C175)/COUNT($C$2:C175)</f>
        <v>0.82106379310344801</v>
      </c>
      <c r="F175" s="9">
        <v>4474</v>
      </c>
      <c r="G175" s="65">
        <v>97</v>
      </c>
      <c r="H175" s="72">
        <v>202.07999999999998</v>
      </c>
      <c r="I175" s="73">
        <v>4</v>
      </c>
      <c r="J175" s="72">
        <v>568.09</v>
      </c>
      <c r="K175" s="73">
        <v>15</v>
      </c>
      <c r="L175" s="11">
        <v>341</v>
      </c>
      <c r="M175" s="65">
        <v>12</v>
      </c>
      <c r="N175" s="65">
        <v>5</v>
      </c>
      <c r="O175" s="3" t="s">
        <v>33</v>
      </c>
    </row>
    <row r="176" spans="1:15" ht="20.25" thickBot="1">
      <c r="A176" s="41"/>
      <c r="B176" s="17">
        <v>46287</v>
      </c>
      <c r="C176" s="6">
        <v>0.95979999999999999</v>
      </c>
      <c r="D176" s="31">
        <v>0.85289999999999999</v>
      </c>
      <c r="E176" s="4">
        <f>SUM($C$2:C176)/COUNT($C$2:C176)</f>
        <v>0.82185657142857116</v>
      </c>
      <c r="F176" s="9">
        <v>4714</v>
      </c>
      <c r="G176" s="65">
        <v>211</v>
      </c>
      <c r="H176" s="72">
        <v>129.47999999999999</v>
      </c>
      <c r="I176" s="73">
        <v>3</v>
      </c>
      <c r="J176" s="72">
        <v>181.24</v>
      </c>
      <c r="K176" s="73">
        <v>5</v>
      </c>
      <c r="L176" s="11">
        <v>269</v>
      </c>
      <c r="M176" s="65">
        <v>9</v>
      </c>
      <c r="N176" s="65">
        <v>8</v>
      </c>
      <c r="O176" s="3" t="s">
        <v>33</v>
      </c>
    </row>
    <row r="177" spans="1:15" ht="20.25" thickBot="1">
      <c r="A177" s="41"/>
      <c r="B177" s="17">
        <v>46288</v>
      </c>
      <c r="C177" s="6">
        <v>0.92330000000000001</v>
      </c>
      <c r="D177" s="31">
        <v>0.85589999999999999</v>
      </c>
      <c r="E177" s="4">
        <f>SUM($C$2:C177)/COUNT($C$2:C177)</f>
        <v>0.8224329545454544</v>
      </c>
      <c r="F177" s="9">
        <v>4712</v>
      </c>
      <c r="G177" s="65">
        <v>151</v>
      </c>
      <c r="H177" s="72">
        <v>548.22</v>
      </c>
      <c r="I177" s="73">
        <v>11</v>
      </c>
      <c r="J177" s="72">
        <v>147.01000000000002</v>
      </c>
      <c r="K177" s="73">
        <v>4</v>
      </c>
      <c r="L177" s="11">
        <v>77</v>
      </c>
      <c r="M177" s="65">
        <v>3</v>
      </c>
      <c r="N177" s="65">
        <v>6</v>
      </c>
      <c r="O177" s="3" t="s">
        <v>33</v>
      </c>
    </row>
    <row r="178" spans="1:15" ht="20.25" thickBot="1">
      <c r="A178" s="41"/>
      <c r="B178" s="17">
        <v>46289</v>
      </c>
      <c r="C178" s="6">
        <v>1.0163</v>
      </c>
      <c r="D178" s="31">
        <v>0.86260000000000003</v>
      </c>
      <c r="E178" s="4">
        <f>SUM($C$2:C178)/COUNT($C$2:C178)</f>
        <v>0.82352824858757046</v>
      </c>
      <c r="F178" s="9">
        <v>7114</v>
      </c>
      <c r="G178" s="65">
        <v>219</v>
      </c>
      <c r="H178" s="72">
        <v>170.26</v>
      </c>
      <c r="I178" s="73">
        <v>3</v>
      </c>
      <c r="J178" s="72">
        <v>0</v>
      </c>
      <c r="K178" s="73">
        <v>0</v>
      </c>
      <c r="L178" s="11">
        <v>442</v>
      </c>
      <c r="M178" s="65">
        <v>16</v>
      </c>
      <c r="N178" s="65">
        <v>10</v>
      </c>
      <c r="O178" s="3" t="s">
        <v>33</v>
      </c>
    </row>
    <row r="179" spans="1:15" ht="20.25" thickBot="1">
      <c r="A179" s="41"/>
      <c r="B179" s="17">
        <v>46290</v>
      </c>
      <c r="C179" s="6">
        <v>0.79279999999999995</v>
      </c>
      <c r="D179" s="31">
        <v>0.85980000000000001</v>
      </c>
      <c r="E179" s="4">
        <f>SUM($C$2:C179)/COUNT($C$2:C179)</f>
        <v>0.82335561797752788</v>
      </c>
      <c r="F179" s="9">
        <v>6058</v>
      </c>
      <c r="G179" s="65">
        <v>183</v>
      </c>
      <c r="H179" s="72">
        <v>304.13</v>
      </c>
      <c r="I179" s="73">
        <v>6</v>
      </c>
      <c r="J179" s="72">
        <v>234.01000000000002</v>
      </c>
      <c r="K179" s="73">
        <v>6</v>
      </c>
      <c r="L179" s="11">
        <v>628</v>
      </c>
      <c r="M179" s="65">
        <v>24</v>
      </c>
      <c r="N179" s="65">
        <v>6</v>
      </c>
      <c r="O179" s="3" t="s">
        <v>33</v>
      </c>
    </row>
    <row r="180" spans="1:15" ht="20.25" thickBot="1">
      <c r="A180" s="41"/>
      <c r="B180" s="17">
        <v>46291</v>
      </c>
      <c r="C180" s="6">
        <v>0.69189999999999996</v>
      </c>
      <c r="D180" s="31">
        <v>0.85340000000000005</v>
      </c>
      <c r="E180" s="4">
        <f>SUM($C$2:C180)/COUNT($C$2:C180)</f>
        <v>0.82262122905027923</v>
      </c>
      <c r="F180" s="9">
        <v>3711</v>
      </c>
      <c r="G180" s="65">
        <v>88</v>
      </c>
      <c r="H180" s="72">
        <v>313.58000000000004</v>
      </c>
      <c r="I180" s="73">
        <v>6</v>
      </c>
      <c r="J180" s="72">
        <v>160.45999999999998</v>
      </c>
      <c r="K180" s="73">
        <v>4</v>
      </c>
      <c r="L180" s="11">
        <v>15</v>
      </c>
      <c r="M180" s="65">
        <v>1</v>
      </c>
      <c r="N180" s="65">
        <v>6</v>
      </c>
      <c r="O180" s="3" t="s">
        <v>33</v>
      </c>
    </row>
    <row r="181" spans="1:15" ht="20.25" thickBot="1">
      <c r="A181" s="41"/>
      <c r="B181" s="17">
        <v>46292</v>
      </c>
      <c r="C181" s="6">
        <v>0.69569999999999999</v>
      </c>
      <c r="D181" s="31">
        <v>0.84750000000000003</v>
      </c>
      <c r="E181" s="4">
        <f>SUM($C$2:C181)/COUNT($C$2:C181)</f>
        <v>0.82191611111111085</v>
      </c>
      <c r="F181" s="9">
        <v>5069</v>
      </c>
      <c r="G181" s="65">
        <v>122</v>
      </c>
      <c r="H181" s="72">
        <v>0</v>
      </c>
      <c r="I181" s="73">
        <v>0</v>
      </c>
      <c r="J181" s="72">
        <v>0</v>
      </c>
      <c r="K181" s="73">
        <v>0</v>
      </c>
      <c r="L181" s="11">
        <v>416</v>
      </c>
      <c r="M181" s="65">
        <v>15</v>
      </c>
      <c r="N181" s="65">
        <v>6</v>
      </c>
      <c r="O181" s="3" t="s">
        <v>33</v>
      </c>
    </row>
    <row r="182" spans="1:15" ht="20.25" thickBot="1">
      <c r="A182" s="41"/>
      <c r="B182" s="17">
        <v>46293</v>
      </c>
      <c r="C182" s="7">
        <v>0.63959999999999995</v>
      </c>
      <c r="D182" s="31">
        <v>0.84009999999999996</v>
      </c>
      <c r="E182" s="4">
        <f>SUM($C$2:C182)/COUNT($C$2:C182)</f>
        <v>0.82090883977900531</v>
      </c>
      <c r="F182" s="9">
        <v>4448</v>
      </c>
      <c r="G182" s="65">
        <v>75</v>
      </c>
      <c r="H182" s="72">
        <v>698.94</v>
      </c>
      <c r="I182" s="73">
        <v>13</v>
      </c>
      <c r="J182" s="72">
        <v>245.10999999999999</v>
      </c>
      <c r="K182" s="73">
        <v>6</v>
      </c>
      <c r="L182" s="11">
        <v>0</v>
      </c>
      <c r="M182" s="65">
        <v>0</v>
      </c>
      <c r="N182" s="65">
        <v>4</v>
      </c>
      <c r="O182" s="3" t="s">
        <v>33</v>
      </c>
    </row>
    <row r="183" spans="1:15" ht="20.25" thickBot="1">
      <c r="A183" s="41"/>
      <c r="B183" s="17">
        <v>46294</v>
      </c>
      <c r="C183" s="6">
        <v>0.65080000000000005</v>
      </c>
      <c r="D183" s="31">
        <v>0.83360000000000001</v>
      </c>
      <c r="E183" s="4">
        <f>SUM($C$2:C183)/COUNT($C$2:C183)</f>
        <v>0.81997417582417564</v>
      </c>
      <c r="F183" s="9">
        <v>4629</v>
      </c>
      <c r="G183" s="65">
        <v>253</v>
      </c>
      <c r="H183" s="72">
        <v>110.21000000000001</v>
      </c>
      <c r="I183" s="73">
        <v>2</v>
      </c>
      <c r="J183" s="72">
        <v>252.75</v>
      </c>
      <c r="K183" s="73">
        <v>7</v>
      </c>
      <c r="L183" s="11">
        <v>231</v>
      </c>
      <c r="M183" s="65">
        <v>8</v>
      </c>
      <c r="N183" s="65">
        <v>8</v>
      </c>
      <c r="O183" s="3" t="s">
        <v>33</v>
      </c>
    </row>
    <row r="184" spans="1:15" ht="20.25" thickBot="1">
      <c r="A184" s="42"/>
      <c r="B184" s="17">
        <v>46295</v>
      </c>
      <c r="C184" s="6">
        <v>0.66649999999999998</v>
      </c>
      <c r="D184" s="31">
        <v>0.82799999999999996</v>
      </c>
      <c r="E184" s="4">
        <f>SUM($C$2:C184)/COUNT($C$2:C184)</f>
        <v>0.81913551912568294</v>
      </c>
      <c r="F184" s="9">
        <v>5079</v>
      </c>
      <c r="G184" s="65">
        <v>137</v>
      </c>
      <c r="H184" s="72">
        <v>370.25</v>
      </c>
      <c r="I184" s="73">
        <v>7</v>
      </c>
      <c r="J184" s="72">
        <v>108.72999999999999</v>
      </c>
      <c r="K184" s="73">
        <v>3</v>
      </c>
      <c r="L184" s="11">
        <v>365</v>
      </c>
      <c r="M184" s="65">
        <v>14</v>
      </c>
      <c r="N184" s="65">
        <v>6</v>
      </c>
      <c r="O184" s="3" t="s">
        <v>33</v>
      </c>
    </row>
    <row r="185" spans="1:15" ht="20.25" customHeight="1" thickBot="1">
      <c r="A185" s="40" t="s">
        <v>57</v>
      </c>
      <c r="B185" s="17">
        <v>46296</v>
      </c>
      <c r="C185" s="32" t="s">
        <v>58</v>
      </c>
      <c r="D185" s="59">
        <v>0.67410000000000003</v>
      </c>
      <c r="E185" s="60">
        <v>0.81830000000000003</v>
      </c>
      <c r="F185" s="62">
        <v>4816</v>
      </c>
      <c r="G185" s="65">
        <v>112</v>
      </c>
      <c r="H185" s="74">
        <v>363.58</v>
      </c>
      <c r="I185" s="75">
        <v>9</v>
      </c>
      <c r="J185" s="74">
        <v>150.88999999999999</v>
      </c>
      <c r="K185" s="75">
        <v>4</v>
      </c>
      <c r="L185" s="64">
        <v>406</v>
      </c>
      <c r="M185" s="65">
        <v>15</v>
      </c>
      <c r="N185" s="65">
        <v>5</v>
      </c>
      <c r="O185" s="3" t="s">
        <v>33</v>
      </c>
    </row>
    <row r="186" spans="1:15" ht="20.25" customHeight="1" thickBot="1">
      <c r="A186" s="41"/>
      <c r="B186" s="17">
        <v>46297</v>
      </c>
      <c r="C186" s="33" t="s">
        <v>59</v>
      </c>
      <c r="D186" s="61">
        <v>0.65610000000000002</v>
      </c>
      <c r="E186" s="61">
        <v>0.8175</v>
      </c>
      <c r="F186" s="63">
        <v>3910</v>
      </c>
      <c r="G186" s="65">
        <v>199</v>
      </c>
      <c r="H186" s="72">
        <v>0</v>
      </c>
      <c r="I186" s="73">
        <v>0</v>
      </c>
      <c r="J186" s="72">
        <v>0</v>
      </c>
      <c r="K186" s="73">
        <v>0</v>
      </c>
      <c r="L186" s="65">
        <v>0</v>
      </c>
      <c r="M186" s="65">
        <v>0</v>
      </c>
      <c r="N186" s="65">
        <v>7</v>
      </c>
      <c r="O186" s="3" t="s">
        <v>33</v>
      </c>
    </row>
    <row r="187" spans="1:15" ht="20.25" customHeight="1" thickBot="1">
      <c r="A187" s="41"/>
      <c r="B187" s="17">
        <v>46298</v>
      </c>
      <c r="C187" s="33" t="s">
        <v>60</v>
      </c>
      <c r="D187" s="61">
        <v>0.65280000000000005</v>
      </c>
      <c r="E187" s="61">
        <v>0.81659999999999999</v>
      </c>
      <c r="F187" s="63">
        <v>5071</v>
      </c>
      <c r="G187" s="65">
        <v>99</v>
      </c>
      <c r="H187" s="72">
        <v>645.69000000000005</v>
      </c>
      <c r="I187" s="73">
        <v>13</v>
      </c>
      <c r="J187" s="72">
        <v>110.88</v>
      </c>
      <c r="K187" s="73">
        <v>3</v>
      </c>
      <c r="L187" s="65">
        <v>342</v>
      </c>
      <c r="M187" s="65">
        <v>7</v>
      </c>
      <c r="N187" s="65">
        <v>5</v>
      </c>
      <c r="O187" s="3" t="s">
        <v>33</v>
      </c>
    </row>
    <row r="188" spans="1:15" ht="20.25" customHeight="1" thickBot="1">
      <c r="A188" s="41"/>
      <c r="B188" s="17">
        <v>46299</v>
      </c>
      <c r="C188" s="33" t="s">
        <v>61</v>
      </c>
      <c r="D188" s="61">
        <v>0.68079999999999996</v>
      </c>
      <c r="E188" s="61">
        <v>0.81589999999999996</v>
      </c>
      <c r="F188" s="63">
        <v>6345</v>
      </c>
      <c r="G188" s="65">
        <v>257</v>
      </c>
      <c r="H188" s="72">
        <v>0</v>
      </c>
      <c r="I188" s="73">
        <v>0</v>
      </c>
      <c r="J188" s="72">
        <v>0</v>
      </c>
      <c r="K188" s="73">
        <v>0</v>
      </c>
      <c r="L188" s="65">
        <v>961</v>
      </c>
      <c r="M188" s="65">
        <v>24</v>
      </c>
      <c r="N188" s="65">
        <v>9</v>
      </c>
      <c r="O188" s="3" t="s">
        <v>33</v>
      </c>
    </row>
    <row r="189" spans="1:15" ht="20.25" customHeight="1" thickBot="1">
      <c r="A189" s="41"/>
      <c r="B189" s="17">
        <v>46300</v>
      </c>
      <c r="C189" s="33" t="s">
        <v>62</v>
      </c>
      <c r="D189" s="61">
        <v>0.63800000000000001</v>
      </c>
      <c r="E189" s="61">
        <v>0.81489999999999996</v>
      </c>
      <c r="F189" s="63">
        <v>4445</v>
      </c>
      <c r="G189" s="65">
        <v>166</v>
      </c>
      <c r="H189" s="72">
        <v>851.37000000000012</v>
      </c>
      <c r="I189" s="73">
        <v>18</v>
      </c>
      <c r="J189" s="72">
        <v>525.45000000000005</v>
      </c>
      <c r="K189" s="73">
        <v>14</v>
      </c>
      <c r="L189" s="65">
        <v>47</v>
      </c>
      <c r="M189" s="65">
        <v>2</v>
      </c>
      <c r="N189" s="65">
        <v>6</v>
      </c>
      <c r="O189" s="3" t="s">
        <v>33</v>
      </c>
    </row>
    <row r="190" spans="1:15" ht="20.25" customHeight="1" thickBot="1">
      <c r="A190" s="41"/>
      <c r="B190" s="17">
        <v>46301</v>
      </c>
      <c r="C190" s="33" t="s">
        <v>63</v>
      </c>
      <c r="D190" s="61">
        <v>0.65429999999999999</v>
      </c>
      <c r="E190" s="61">
        <v>0.81410000000000005</v>
      </c>
      <c r="F190" s="63">
        <v>4707</v>
      </c>
      <c r="G190" s="65">
        <v>410</v>
      </c>
      <c r="H190" s="72">
        <v>400.48</v>
      </c>
      <c r="I190" s="73">
        <v>8</v>
      </c>
      <c r="J190" s="72">
        <v>439.56000000000006</v>
      </c>
      <c r="K190" s="73">
        <v>12</v>
      </c>
      <c r="L190" s="65">
        <v>577</v>
      </c>
      <c r="M190" s="65">
        <v>15</v>
      </c>
      <c r="N190" s="65">
        <v>12</v>
      </c>
      <c r="O190" s="3" t="s">
        <v>33</v>
      </c>
    </row>
    <row r="191" spans="1:15" ht="20.25" customHeight="1" thickBot="1">
      <c r="A191" s="41"/>
      <c r="B191" s="17">
        <v>46302</v>
      </c>
      <c r="C191" s="33" t="s">
        <v>64</v>
      </c>
      <c r="D191" s="61">
        <v>0.62870000000000004</v>
      </c>
      <c r="E191" s="61">
        <v>0.81310000000000004</v>
      </c>
      <c r="F191" s="63">
        <v>5624</v>
      </c>
      <c r="G191" s="65">
        <v>236</v>
      </c>
      <c r="H191" s="72">
        <v>859.39</v>
      </c>
      <c r="I191" s="73">
        <v>19</v>
      </c>
      <c r="J191" s="72">
        <v>185.85</v>
      </c>
      <c r="K191" s="73">
        <v>5</v>
      </c>
      <c r="L191" s="65">
        <v>371</v>
      </c>
      <c r="M191" s="65">
        <v>9</v>
      </c>
      <c r="N191" s="65">
        <v>9</v>
      </c>
      <c r="O191" s="3" t="s">
        <v>33</v>
      </c>
    </row>
    <row r="192" spans="1:15" ht="20.25" customHeight="1" thickBot="1">
      <c r="A192" s="41"/>
      <c r="B192" s="17">
        <v>46303</v>
      </c>
      <c r="C192" s="33" t="s">
        <v>65</v>
      </c>
      <c r="D192" s="61">
        <v>0.63829999999999998</v>
      </c>
      <c r="E192" s="61">
        <v>0.81220000000000003</v>
      </c>
      <c r="F192" s="63">
        <v>4000</v>
      </c>
      <c r="G192" s="65">
        <v>55</v>
      </c>
      <c r="H192" s="72">
        <v>249.38</v>
      </c>
      <c r="I192" s="73">
        <v>6</v>
      </c>
      <c r="J192" s="72">
        <v>145.26</v>
      </c>
      <c r="K192" s="73">
        <v>4</v>
      </c>
      <c r="L192" s="65">
        <v>362</v>
      </c>
      <c r="M192" s="65">
        <v>10</v>
      </c>
      <c r="N192" s="65">
        <v>7</v>
      </c>
      <c r="O192" s="3" t="s">
        <v>33</v>
      </c>
    </row>
    <row r="193" spans="1:15" ht="20.25" customHeight="1" thickBot="1">
      <c r="A193" s="41"/>
      <c r="B193" s="17">
        <v>46304</v>
      </c>
      <c r="C193" s="33" t="s">
        <v>66</v>
      </c>
      <c r="D193" s="61">
        <v>0.65129999999999999</v>
      </c>
      <c r="E193" s="61">
        <v>0.81130000000000002</v>
      </c>
      <c r="F193" s="63">
        <v>4490</v>
      </c>
      <c r="G193" s="65">
        <v>183</v>
      </c>
      <c r="H193" s="72">
        <v>865.24000000000012</v>
      </c>
      <c r="I193" s="73">
        <v>18</v>
      </c>
      <c r="J193" s="72">
        <v>75.849999999999994</v>
      </c>
      <c r="K193" s="73">
        <v>2</v>
      </c>
      <c r="L193" s="65">
        <v>543.6</v>
      </c>
      <c r="M193" s="65">
        <v>14</v>
      </c>
      <c r="N193" s="65">
        <v>6</v>
      </c>
      <c r="O193" s="3" t="s">
        <v>33</v>
      </c>
    </row>
    <row r="194" spans="1:15" ht="20.25" customHeight="1" thickBot="1">
      <c r="A194" s="41"/>
      <c r="B194" s="17">
        <v>46305</v>
      </c>
      <c r="C194" s="33" t="s">
        <v>67</v>
      </c>
      <c r="D194" s="61">
        <v>0.67059999999999997</v>
      </c>
      <c r="E194" s="61">
        <v>0.81059999999999999</v>
      </c>
      <c r="F194" s="63">
        <v>4157</v>
      </c>
      <c r="G194" s="65">
        <v>173</v>
      </c>
      <c r="H194" s="72">
        <v>505.37999999999994</v>
      </c>
      <c r="I194" s="73">
        <v>11</v>
      </c>
      <c r="J194" s="72">
        <v>70.59</v>
      </c>
      <c r="K194" s="73">
        <v>2</v>
      </c>
      <c r="L194" s="65">
        <v>920.65</v>
      </c>
      <c r="M194" s="65">
        <v>24</v>
      </c>
      <c r="N194" s="65">
        <v>8</v>
      </c>
      <c r="O194" s="3" t="s">
        <v>33</v>
      </c>
    </row>
    <row r="195" spans="1:15" ht="20.25" customHeight="1" thickBot="1">
      <c r="A195" s="41"/>
      <c r="B195" s="17">
        <v>46306</v>
      </c>
      <c r="C195" s="33" t="s">
        <v>68</v>
      </c>
      <c r="D195" s="61">
        <v>0.61680000000000001</v>
      </c>
      <c r="E195" s="61">
        <v>0.80959999999999999</v>
      </c>
      <c r="F195" s="63">
        <v>4266</v>
      </c>
      <c r="G195" s="65">
        <v>98</v>
      </c>
      <c r="H195" s="76">
        <v>0</v>
      </c>
      <c r="I195" s="77">
        <v>0</v>
      </c>
      <c r="J195" s="66">
        <v>0</v>
      </c>
      <c r="K195" s="77">
        <v>0</v>
      </c>
      <c r="L195" s="65">
        <v>342.58</v>
      </c>
      <c r="M195" s="65">
        <v>11</v>
      </c>
      <c r="N195" s="65">
        <v>6</v>
      </c>
      <c r="O195" s="3" t="s">
        <v>33</v>
      </c>
    </row>
    <row r="196" spans="1:15" ht="15" customHeight="1">
      <c r="A196" s="41"/>
      <c r="B196" s="17">
        <v>46307</v>
      </c>
    </row>
    <row r="197" spans="1:15" ht="15" customHeight="1">
      <c r="A197" s="41"/>
      <c r="B197" s="17">
        <v>46308</v>
      </c>
    </row>
    <row r="198" spans="1:15" ht="15" customHeight="1">
      <c r="A198" s="41"/>
      <c r="B198" s="17">
        <v>46309</v>
      </c>
    </row>
    <row r="199" spans="1:15" ht="15" customHeight="1">
      <c r="A199" s="41"/>
      <c r="B199" s="17">
        <v>46310</v>
      </c>
    </row>
    <row r="200" spans="1:15" ht="15" customHeight="1">
      <c r="A200" s="41"/>
      <c r="B200" s="17">
        <v>46311</v>
      </c>
    </row>
    <row r="201" spans="1:15" ht="15" customHeight="1">
      <c r="A201" s="41"/>
      <c r="B201" s="17">
        <v>46312</v>
      </c>
    </row>
    <row r="202" spans="1:15" ht="15" customHeight="1">
      <c r="A202" s="41"/>
      <c r="B202" s="17">
        <v>46313</v>
      </c>
    </row>
    <row r="203" spans="1:15" ht="15" customHeight="1">
      <c r="A203" s="41"/>
      <c r="B203" s="17">
        <v>46314</v>
      </c>
    </row>
    <row r="204" spans="1:15" ht="15" customHeight="1">
      <c r="A204" s="41"/>
      <c r="B204" s="17">
        <v>46315</v>
      </c>
    </row>
    <row r="205" spans="1:15" ht="15" customHeight="1">
      <c r="A205" s="41"/>
      <c r="B205" s="17">
        <v>46316</v>
      </c>
    </row>
    <row r="206" spans="1:15" ht="15" customHeight="1">
      <c r="A206" s="41"/>
      <c r="B206" s="17">
        <v>46317</v>
      </c>
    </row>
    <row r="207" spans="1:15" ht="15" customHeight="1">
      <c r="A207" s="41"/>
      <c r="B207" s="17">
        <v>46318</v>
      </c>
    </row>
    <row r="208" spans="1:15" ht="15" customHeight="1">
      <c r="A208" s="41"/>
      <c r="B208" s="17">
        <v>46319</v>
      </c>
    </row>
    <row r="209" spans="1:2" ht="15" customHeight="1">
      <c r="A209" s="41"/>
      <c r="B209" s="17">
        <v>46320</v>
      </c>
    </row>
    <row r="210" spans="1:2" ht="15" customHeight="1">
      <c r="A210" s="41"/>
      <c r="B210" s="17">
        <v>46321</v>
      </c>
    </row>
    <row r="211" spans="1:2" ht="15" customHeight="1">
      <c r="A211" s="41"/>
      <c r="B211" s="17">
        <v>46322</v>
      </c>
    </row>
    <row r="212" spans="1:2" ht="15" customHeight="1">
      <c r="A212" s="41"/>
      <c r="B212" s="17">
        <v>46323</v>
      </c>
    </row>
    <row r="213" spans="1:2" ht="15" customHeight="1">
      <c r="A213" s="41"/>
      <c r="B213" s="17">
        <v>46324</v>
      </c>
    </row>
    <row r="214" spans="1:2" ht="15.75" customHeight="1">
      <c r="A214" s="41"/>
      <c r="B214" s="17">
        <v>46325</v>
      </c>
    </row>
    <row r="215" spans="1:2">
      <c r="A215" s="41"/>
      <c r="B215" s="17">
        <v>46326</v>
      </c>
    </row>
    <row r="216" spans="1:2" ht="20.25" customHeight="1">
      <c r="B216" s="17">
        <v>46327</v>
      </c>
    </row>
    <row r="217" spans="1:2">
      <c r="B217" s="17">
        <v>46328</v>
      </c>
    </row>
    <row r="218" spans="1:2">
      <c r="B218" s="17">
        <v>46329</v>
      </c>
    </row>
    <row r="219" spans="1:2">
      <c r="B219" s="17">
        <v>46330</v>
      </c>
    </row>
    <row r="220" spans="1:2">
      <c r="B220" s="17">
        <v>46331</v>
      </c>
    </row>
    <row r="221" spans="1:2">
      <c r="B221" s="17">
        <v>46332</v>
      </c>
    </row>
    <row r="222" spans="1:2">
      <c r="B222" s="17">
        <v>46333</v>
      </c>
    </row>
    <row r="223" spans="1:2">
      <c r="B223" s="17">
        <v>46334</v>
      </c>
    </row>
    <row r="224" spans="1:2">
      <c r="B224" s="17">
        <v>46335</v>
      </c>
    </row>
    <row r="225" spans="2:2">
      <c r="B225" s="17">
        <v>46336</v>
      </c>
    </row>
    <row r="226" spans="2:2">
      <c r="B226" s="17">
        <v>46337</v>
      </c>
    </row>
    <row r="227" spans="2:2">
      <c r="B227" s="17">
        <v>46338</v>
      </c>
    </row>
    <row r="228" spans="2:2">
      <c r="B228" s="17">
        <v>46339</v>
      </c>
    </row>
    <row r="229" spans="2:2">
      <c r="B229" s="17">
        <v>46340</v>
      </c>
    </row>
    <row r="230" spans="2:2">
      <c r="B230" s="17">
        <v>46341</v>
      </c>
    </row>
    <row r="231" spans="2:2">
      <c r="B231" s="17">
        <v>46342</v>
      </c>
    </row>
    <row r="232" spans="2:2">
      <c r="B232" s="17">
        <v>46343</v>
      </c>
    </row>
    <row r="233" spans="2:2">
      <c r="B233" s="17">
        <v>46344</v>
      </c>
    </row>
    <row r="234" spans="2:2">
      <c r="B234" s="17">
        <v>46345</v>
      </c>
    </row>
    <row r="235" spans="2:2">
      <c r="B235" s="17">
        <v>46346</v>
      </c>
    </row>
    <row r="236" spans="2:2">
      <c r="B236" s="17">
        <v>46347</v>
      </c>
    </row>
    <row r="237" spans="2:2">
      <c r="B237" s="17">
        <v>46348</v>
      </c>
    </row>
    <row r="238" spans="2:2">
      <c r="B238" s="17">
        <v>46349</v>
      </c>
    </row>
    <row r="239" spans="2:2">
      <c r="B239" s="17">
        <v>46350</v>
      </c>
    </row>
    <row r="240" spans="2:2">
      <c r="B240" s="17">
        <v>46351</v>
      </c>
    </row>
    <row r="241" spans="2:2">
      <c r="B241" s="17">
        <v>46352</v>
      </c>
    </row>
    <row r="242" spans="2:2">
      <c r="B242" s="17">
        <v>46353</v>
      </c>
    </row>
    <row r="243" spans="2:2">
      <c r="B243" s="17">
        <v>46354</v>
      </c>
    </row>
    <row r="244" spans="2:2">
      <c r="B244" s="17">
        <v>46355</v>
      </c>
    </row>
    <row r="245" spans="2:2">
      <c r="B245" s="17">
        <v>46356</v>
      </c>
    </row>
    <row r="246" spans="2:2">
      <c r="B246" s="17">
        <v>46357</v>
      </c>
    </row>
    <row r="247" spans="2:2">
      <c r="B247" s="17">
        <v>46358</v>
      </c>
    </row>
    <row r="248" spans="2:2">
      <c r="B248" s="17">
        <v>46359</v>
      </c>
    </row>
    <row r="249" spans="2:2">
      <c r="B249" s="17">
        <v>46360</v>
      </c>
    </row>
    <row r="250" spans="2:2">
      <c r="B250" s="17">
        <v>46361</v>
      </c>
    </row>
    <row r="251" spans="2:2">
      <c r="B251" s="17">
        <v>46362</v>
      </c>
    </row>
    <row r="252" spans="2:2">
      <c r="B252" s="17">
        <v>46363</v>
      </c>
    </row>
    <row r="253" spans="2:2">
      <c r="B253" s="17">
        <v>46364</v>
      </c>
    </row>
    <row r="254" spans="2:2">
      <c r="B254" s="17">
        <v>46365</v>
      </c>
    </row>
    <row r="255" spans="2:2">
      <c r="B255" s="17">
        <v>46366</v>
      </c>
    </row>
    <row r="256" spans="2:2">
      <c r="B256" s="17">
        <v>46367</v>
      </c>
    </row>
    <row r="257" spans="2:2">
      <c r="B257" s="17">
        <v>46368</v>
      </c>
    </row>
    <row r="258" spans="2:2">
      <c r="B258" s="17">
        <v>46369</v>
      </c>
    </row>
    <row r="259" spans="2:2">
      <c r="B259" s="17">
        <v>46370</v>
      </c>
    </row>
    <row r="260" spans="2:2">
      <c r="B260" s="17">
        <v>46371</v>
      </c>
    </row>
    <row r="261" spans="2:2">
      <c r="B261" s="17">
        <v>46372</v>
      </c>
    </row>
    <row r="262" spans="2:2">
      <c r="B262" s="17">
        <v>46373</v>
      </c>
    </row>
    <row r="263" spans="2:2">
      <c r="B263" s="17">
        <v>46374</v>
      </c>
    </row>
    <row r="264" spans="2:2">
      <c r="B264" s="17">
        <v>46375</v>
      </c>
    </row>
    <row r="265" spans="2:2">
      <c r="B265" s="17">
        <v>46376</v>
      </c>
    </row>
    <row r="266" spans="2:2">
      <c r="B266" s="17">
        <v>46377</v>
      </c>
    </row>
    <row r="267" spans="2:2">
      <c r="B267" s="17">
        <v>46378</v>
      </c>
    </row>
    <row r="268" spans="2:2">
      <c r="B268" s="17">
        <v>46379</v>
      </c>
    </row>
    <row r="269" spans="2:2">
      <c r="B269" s="17">
        <v>46380</v>
      </c>
    </row>
    <row r="270" spans="2:2">
      <c r="B270" s="17">
        <v>46381</v>
      </c>
    </row>
    <row r="271" spans="2:2">
      <c r="B271" s="17">
        <v>46382</v>
      </c>
    </row>
    <row r="272" spans="2:2">
      <c r="B272" s="17">
        <v>46383</v>
      </c>
    </row>
    <row r="273" spans="2:2">
      <c r="B273" s="17">
        <v>46384</v>
      </c>
    </row>
    <row r="274" spans="2:2">
      <c r="B274" s="17">
        <v>46385</v>
      </c>
    </row>
    <row r="275" spans="2:2">
      <c r="B275" s="17">
        <v>46386</v>
      </c>
    </row>
    <row r="276" spans="2:2">
      <c r="B276" s="17">
        <v>46387</v>
      </c>
    </row>
    <row r="277" spans="2:2">
      <c r="B277" s="17">
        <v>46388</v>
      </c>
    </row>
    <row r="278" spans="2:2">
      <c r="B278" s="17">
        <v>46389</v>
      </c>
    </row>
    <row r="279" spans="2:2">
      <c r="B279" s="17">
        <v>46390</v>
      </c>
    </row>
    <row r="280" spans="2:2">
      <c r="B280" s="17">
        <v>46391</v>
      </c>
    </row>
    <row r="281" spans="2:2">
      <c r="B281" s="17">
        <v>46392</v>
      </c>
    </row>
    <row r="282" spans="2:2">
      <c r="B282" s="17">
        <v>46393</v>
      </c>
    </row>
    <row r="283" spans="2:2">
      <c r="B283" s="17">
        <v>46394</v>
      </c>
    </row>
    <row r="284" spans="2:2">
      <c r="B284" s="17">
        <v>46395</v>
      </c>
    </row>
    <row r="285" spans="2:2">
      <c r="B285" s="17">
        <v>46396</v>
      </c>
    </row>
    <row r="286" spans="2:2">
      <c r="B286" s="17">
        <v>46397</v>
      </c>
    </row>
    <row r="287" spans="2:2">
      <c r="B287" s="17">
        <v>46398</v>
      </c>
    </row>
    <row r="288" spans="2:2">
      <c r="B288" s="17">
        <v>46399</v>
      </c>
    </row>
    <row r="289" spans="2:2">
      <c r="B289" s="17">
        <v>46400</v>
      </c>
    </row>
    <row r="290" spans="2:2">
      <c r="B290" s="17">
        <v>46401</v>
      </c>
    </row>
    <row r="291" spans="2:2">
      <c r="B291" s="17">
        <v>46402</v>
      </c>
    </row>
    <row r="292" spans="2:2">
      <c r="B292" s="17">
        <v>46403</v>
      </c>
    </row>
    <row r="293" spans="2:2">
      <c r="B293" s="17">
        <v>46404</v>
      </c>
    </row>
    <row r="294" spans="2:2">
      <c r="B294" s="17">
        <v>46405</v>
      </c>
    </row>
    <row r="295" spans="2:2">
      <c r="B295" s="17">
        <v>46406</v>
      </c>
    </row>
    <row r="296" spans="2:2">
      <c r="B296" s="17">
        <v>46407</v>
      </c>
    </row>
    <row r="297" spans="2:2">
      <c r="B297" s="17">
        <v>46408</v>
      </c>
    </row>
    <row r="298" spans="2:2">
      <c r="B298" s="17">
        <v>46409</v>
      </c>
    </row>
    <row r="299" spans="2:2">
      <c r="B299" s="17">
        <v>46410</v>
      </c>
    </row>
    <row r="300" spans="2:2">
      <c r="B300" s="17">
        <v>46411</v>
      </c>
    </row>
    <row r="301" spans="2:2">
      <c r="B301" s="17">
        <v>46412</v>
      </c>
    </row>
    <row r="302" spans="2:2">
      <c r="B302" s="17">
        <v>46413</v>
      </c>
    </row>
    <row r="303" spans="2:2">
      <c r="B303" s="17">
        <v>46414</v>
      </c>
    </row>
    <row r="304" spans="2:2">
      <c r="B304" s="17">
        <v>46415</v>
      </c>
    </row>
    <row r="305" spans="2:2">
      <c r="B305" s="17">
        <v>46416</v>
      </c>
    </row>
    <row r="306" spans="2:2">
      <c r="B306" s="17">
        <v>46417</v>
      </c>
    </row>
    <row r="307" spans="2:2">
      <c r="B307" s="17">
        <v>46418</v>
      </c>
    </row>
    <row r="308" spans="2:2">
      <c r="B308" s="17">
        <v>46419</v>
      </c>
    </row>
    <row r="309" spans="2:2">
      <c r="B309" s="17">
        <v>46420</v>
      </c>
    </row>
    <row r="310" spans="2:2">
      <c r="B310" s="17">
        <v>46421</v>
      </c>
    </row>
    <row r="311" spans="2:2">
      <c r="B311" s="17">
        <v>46422</v>
      </c>
    </row>
    <row r="312" spans="2:2">
      <c r="B312" s="17">
        <v>46423</v>
      </c>
    </row>
    <row r="313" spans="2:2">
      <c r="B313" s="17">
        <v>46424</v>
      </c>
    </row>
    <row r="314" spans="2:2">
      <c r="B314" s="17">
        <v>46425</v>
      </c>
    </row>
    <row r="315" spans="2:2">
      <c r="B315" s="17">
        <v>46426</v>
      </c>
    </row>
    <row r="316" spans="2:2">
      <c r="B316" s="17">
        <v>46427</v>
      </c>
    </row>
    <row r="317" spans="2:2">
      <c r="B317" s="17">
        <v>46428</v>
      </c>
    </row>
    <row r="318" spans="2:2">
      <c r="B318" s="17">
        <v>46429</v>
      </c>
    </row>
    <row r="319" spans="2:2">
      <c r="B319" s="17">
        <v>46430</v>
      </c>
    </row>
    <row r="320" spans="2:2">
      <c r="B320" s="17">
        <v>46431</v>
      </c>
    </row>
    <row r="321" spans="2:2">
      <c r="B321" s="17">
        <v>46432</v>
      </c>
    </row>
    <row r="322" spans="2:2">
      <c r="B322" s="17">
        <v>46433</v>
      </c>
    </row>
    <row r="323" spans="2:2">
      <c r="B323" s="17">
        <v>46434</v>
      </c>
    </row>
    <row r="324" spans="2:2">
      <c r="B324" s="17">
        <v>46435</v>
      </c>
    </row>
    <row r="325" spans="2:2">
      <c r="B325" s="17">
        <v>46436</v>
      </c>
    </row>
    <row r="326" spans="2:2">
      <c r="B326" s="17">
        <v>46437</v>
      </c>
    </row>
    <row r="327" spans="2:2">
      <c r="B327" s="17">
        <v>46438</v>
      </c>
    </row>
    <row r="328" spans="2:2">
      <c r="B328" s="17">
        <v>46439</v>
      </c>
    </row>
    <row r="329" spans="2:2">
      <c r="B329" s="17">
        <v>46440</v>
      </c>
    </row>
    <row r="330" spans="2:2">
      <c r="B330" s="17">
        <v>46441</v>
      </c>
    </row>
    <row r="331" spans="2:2">
      <c r="B331" s="17">
        <v>46442</v>
      </c>
    </row>
    <row r="332" spans="2:2">
      <c r="B332" s="17">
        <v>46443</v>
      </c>
    </row>
    <row r="333" spans="2:2">
      <c r="B333" s="17">
        <v>46444</v>
      </c>
    </row>
    <row r="334" spans="2:2">
      <c r="B334" s="17">
        <v>46445</v>
      </c>
    </row>
    <row r="335" spans="2:2">
      <c r="B335" s="17">
        <v>46446</v>
      </c>
    </row>
    <row r="336" spans="2:2">
      <c r="B336" s="17">
        <v>46447</v>
      </c>
    </row>
    <row r="337" spans="2:2">
      <c r="B337" s="17">
        <v>46448</v>
      </c>
    </row>
    <row r="338" spans="2:2">
      <c r="B338" s="17">
        <v>46449</v>
      </c>
    </row>
    <row r="339" spans="2:2">
      <c r="B339" s="17">
        <v>46450</v>
      </c>
    </row>
    <row r="340" spans="2:2">
      <c r="B340" s="17">
        <v>46451</v>
      </c>
    </row>
    <row r="341" spans="2:2">
      <c r="B341" s="17">
        <v>46452</v>
      </c>
    </row>
    <row r="342" spans="2:2">
      <c r="B342" s="17">
        <v>46453</v>
      </c>
    </row>
    <row r="343" spans="2:2">
      <c r="B343" s="17">
        <v>46454</v>
      </c>
    </row>
    <row r="344" spans="2:2">
      <c r="B344" s="17">
        <v>46455</v>
      </c>
    </row>
    <row r="345" spans="2:2">
      <c r="B345" s="17">
        <v>46456</v>
      </c>
    </row>
    <row r="346" spans="2:2">
      <c r="B346" s="17">
        <v>46457</v>
      </c>
    </row>
    <row r="347" spans="2:2">
      <c r="B347" s="17">
        <v>46458</v>
      </c>
    </row>
    <row r="348" spans="2:2">
      <c r="B348" s="17">
        <v>46459</v>
      </c>
    </row>
    <row r="349" spans="2:2">
      <c r="B349" s="17">
        <v>46460</v>
      </c>
    </row>
    <row r="350" spans="2:2">
      <c r="B350" s="17">
        <v>46461</v>
      </c>
    </row>
    <row r="351" spans="2:2">
      <c r="B351" s="17">
        <v>46462</v>
      </c>
    </row>
    <row r="352" spans="2:2">
      <c r="B352" s="17">
        <v>46463</v>
      </c>
    </row>
    <row r="353" spans="2:2">
      <c r="B353" s="17">
        <v>46464</v>
      </c>
    </row>
    <row r="354" spans="2:2">
      <c r="B354" s="17">
        <v>46465</v>
      </c>
    </row>
    <row r="355" spans="2:2">
      <c r="B355" s="17">
        <v>46466</v>
      </c>
    </row>
    <row r="356" spans="2:2">
      <c r="B356" s="17">
        <v>46467</v>
      </c>
    </row>
    <row r="357" spans="2:2">
      <c r="B357" s="17">
        <v>46468</v>
      </c>
    </row>
    <row r="358" spans="2:2">
      <c r="B358" s="17">
        <v>46469</v>
      </c>
    </row>
    <row r="359" spans="2:2">
      <c r="B359" s="17">
        <v>46470</v>
      </c>
    </row>
    <row r="360" spans="2:2">
      <c r="B360" s="17">
        <v>46471</v>
      </c>
    </row>
    <row r="361" spans="2:2">
      <c r="B361" s="17">
        <v>46472</v>
      </c>
    </row>
    <row r="362" spans="2:2">
      <c r="B362" s="17">
        <v>46473</v>
      </c>
    </row>
    <row r="363" spans="2:2">
      <c r="B363" s="17">
        <v>46474</v>
      </c>
    </row>
    <row r="364" spans="2:2">
      <c r="B364" s="17">
        <v>46475</v>
      </c>
    </row>
    <row r="365" spans="2:2">
      <c r="B365" s="17">
        <v>46476</v>
      </c>
    </row>
    <row r="366" spans="2:2">
      <c r="B366" s="17">
        <v>46477</v>
      </c>
    </row>
    <row r="367" spans="2:2">
      <c r="B367" s="17">
        <v>46478</v>
      </c>
    </row>
    <row r="368" spans="2:2">
      <c r="B368" s="17">
        <v>46479</v>
      </c>
    </row>
    <row r="369" spans="2:2">
      <c r="B369" s="17">
        <v>46480</v>
      </c>
    </row>
    <row r="370" spans="2:2">
      <c r="B370" s="17">
        <v>46481</v>
      </c>
    </row>
    <row r="371" spans="2:2">
      <c r="B371" s="17">
        <v>46482</v>
      </c>
    </row>
    <row r="372" spans="2:2">
      <c r="B372" s="17">
        <v>46483</v>
      </c>
    </row>
    <row r="373" spans="2:2">
      <c r="B373" s="17">
        <v>46484</v>
      </c>
    </row>
    <row r="374" spans="2:2">
      <c r="B374" s="17">
        <v>46485</v>
      </c>
    </row>
    <row r="375" spans="2:2">
      <c r="B375" s="17">
        <v>46486</v>
      </c>
    </row>
    <row r="376" spans="2:2">
      <c r="B376" s="17">
        <v>46487</v>
      </c>
    </row>
    <row r="377" spans="2:2">
      <c r="B377" s="17">
        <v>46488</v>
      </c>
    </row>
    <row r="378" spans="2:2">
      <c r="B378" s="17">
        <v>46489</v>
      </c>
    </row>
    <row r="379" spans="2:2">
      <c r="B379" s="17">
        <v>46490</v>
      </c>
    </row>
    <row r="380" spans="2:2">
      <c r="B380" s="17">
        <v>46491</v>
      </c>
    </row>
    <row r="381" spans="2:2">
      <c r="B381" s="17">
        <v>46492</v>
      </c>
    </row>
    <row r="382" spans="2:2">
      <c r="B382" s="17">
        <v>46493</v>
      </c>
    </row>
    <row r="383" spans="2:2">
      <c r="B383" s="17">
        <v>46494</v>
      </c>
    </row>
    <row r="384" spans="2:2">
      <c r="B384" s="17">
        <v>46495</v>
      </c>
    </row>
    <row r="385" spans="2:2">
      <c r="B385" s="17">
        <v>46496</v>
      </c>
    </row>
    <row r="386" spans="2:2">
      <c r="B386" s="17">
        <v>46497</v>
      </c>
    </row>
    <row r="387" spans="2:2">
      <c r="B387" s="17">
        <v>46498</v>
      </c>
    </row>
    <row r="388" spans="2:2">
      <c r="B388" s="17">
        <v>46499</v>
      </c>
    </row>
    <row r="389" spans="2:2">
      <c r="B389" s="17">
        <v>46500</v>
      </c>
    </row>
    <row r="390" spans="2:2">
      <c r="B390" s="17">
        <v>46501</v>
      </c>
    </row>
    <row r="391" spans="2:2">
      <c r="B391" s="17">
        <v>46502</v>
      </c>
    </row>
    <row r="392" spans="2:2">
      <c r="B392" s="17">
        <v>46503</v>
      </c>
    </row>
    <row r="393" spans="2:2">
      <c r="B393" s="17">
        <v>46504</v>
      </c>
    </row>
    <row r="394" spans="2:2">
      <c r="B394" s="17">
        <v>46505</v>
      </c>
    </row>
    <row r="395" spans="2:2">
      <c r="B395" s="17">
        <v>46506</v>
      </c>
    </row>
    <row r="396" spans="2:2">
      <c r="B396" s="17">
        <v>46507</v>
      </c>
    </row>
    <row r="397" spans="2:2">
      <c r="B397" s="17">
        <v>46508</v>
      </c>
    </row>
    <row r="398" spans="2:2">
      <c r="B398" s="17">
        <v>46509</v>
      </c>
    </row>
    <row r="399" spans="2:2">
      <c r="B399" s="17">
        <v>46510</v>
      </c>
    </row>
    <row r="400" spans="2:2">
      <c r="B400" s="17">
        <v>46511</v>
      </c>
    </row>
    <row r="401" spans="2:2">
      <c r="B401" s="17">
        <v>46512</v>
      </c>
    </row>
    <row r="402" spans="2:2">
      <c r="B402" s="17">
        <v>46513</v>
      </c>
    </row>
    <row r="403" spans="2:2">
      <c r="B403" s="17">
        <v>46514</v>
      </c>
    </row>
    <row r="404" spans="2:2">
      <c r="B404" s="17">
        <v>46515</v>
      </c>
    </row>
    <row r="405" spans="2:2">
      <c r="B405" s="17">
        <v>46516</v>
      </c>
    </row>
    <row r="406" spans="2:2">
      <c r="B406" s="17">
        <v>46517</v>
      </c>
    </row>
    <row r="407" spans="2:2">
      <c r="B407" s="17">
        <v>46518</v>
      </c>
    </row>
    <row r="408" spans="2:2">
      <c r="B408" s="17">
        <v>46519</v>
      </c>
    </row>
    <row r="409" spans="2:2">
      <c r="B409" s="17">
        <v>46520</v>
      </c>
    </row>
    <row r="410" spans="2:2">
      <c r="B410" s="17">
        <v>46521</v>
      </c>
    </row>
    <row r="411" spans="2:2">
      <c r="B411" s="17">
        <v>46522</v>
      </c>
    </row>
    <row r="412" spans="2:2">
      <c r="B412" s="17">
        <v>46523</v>
      </c>
    </row>
    <row r="413" spans="2:2">
      <c r="B413" s="17">
        <v>46524</v>
      </c>
    </row>
    <row r="414" spans="2:2">
      <c r="B414" s="17">
        <v>46525</v>
      </c>
    </row>
    <row r="415" spans="2:2">
      <c r="B415" s="17">
        <v>46526</v>
      </c>
    </row>
    <row r="416" spans="2:2">
      <c r="B416" s="17">
        <v>46527</v>
      </c>
    </row>
    <row r="417" spans="2:2">
      <c r="B417" s="17">
        <v>46528</v>
      </c>
    </row>
    <row r="418" spans="2:2">
      <c r="B418" s="17">
        <v>46529</v>
      </c>
    </row>
    <row r="419" spans="2:2">
      <c r="B419" s="17">
        <v>46530</v>
      </c>
    </row>
    <row r="420" spans="2:2">
      <c r="B420" s="17">
        <v>46531</v>
      </c>
    </row>
    <row r="421" spans="2:2">
      <c r="B421" s="17">
        <v>46532</v>
      </c>
    </row>
    <row r="422" spans="2:2">
      <c r="B422" s="17">
        <v>46533</v>
      </c>
    </row>
    <row r="423" spans="2:2">
      <c r="B423" s="17">
        <v>46534</v>
      </c>
    </row>
    <row r="424" spans="2:2">
      <c r="B424" s="17">
        <v>46535</v>
      </c>
    </row>
    <row r="425" spans="2:2">
      <c r="B425" s="17">
        <v>46536</v>
      </c>
    </row>
    <row r="426" spans="2:2">
      <c r="B426" s="17">
        <v>46537</v>
      </c>
    </row>
    <row r="427" spans="2:2">
      <c r="B427" s="17">
        <v>46538</v>
      </c>
    </row>
    <row r="428" spans="2:2">
      <c r="B428" s="17">
        <v>46539</v>
      </c>
    </row>
    <row r="429" spans="2:2">
      <c r="B429" s="17">
        <v>46540</v>
      </c>
    </row>
    <row r="430" spans="2:2">
      <c r="B430" s="17">
        <v>46541</v>
      </c>
    </row>
    <row r="431" spans="2:2">
      <c r="B431" s="17">
        <v>46542</v>
      </c>
    </row>
    <row r="432" spans="2:2">
      <c r="B432" s="17">
        <v>46543</v>
      </c>
    </row>
    <row r="433" spans="2:2">
      <c r="B433" s="17">
        <v>46544</v>
      </c>
    </row>
    <row r="434" spans="2:2">
      <c r="B434" s="17">
        <v>46545</v>
      </c>
    </row>
    <row r="435" spans="2:2">
      <c r="B435" s="17">
        <v>46546</v>
      </c>
    </row>
    <row r="436" spans="2:2">
      <c r="B436" s="17">
        <v>46547</v>
      </c>
    </row>
    <row r="437" spans="2:2">
      <c r="B437" s="17">
        <v>46548</v>
      </c>
    </row>
    <row r="438" spans="2:2">
      <c r="B438" s="17">
        <v>46549</v>
      </c>
    </row>
    <row r="439" spans="2:2">
      <c r="B439" s="17">
        <v>46550</v>
      </c>
    </row>
    <row r="440" spans="2:2">
      <c r="B440" s="17">
        <v>46551</v>
      </c>
    </row>
    <row r="441" spans="2:2">
      <c r="B441" s="17">
        <v>46552</v>
      </c>
    </row>
    <row r="442" spans="2:2">
      <c r="B442" s="17">
        <v>46553</v>
      </c>
    </row>
    <row r="443" spans="2:2">
      <c r="B443" s="17">
        <v>46554</v>
      </c>
    </row>
    <row r="444" spans="2:2">
      <c r="B444" s="17">
        <v>46555</v>
      </c>
    </row>
    <row r="445" spans="2:2">
      <c r="B445" s="17">
        <v>46556</v>
      </c>
    </row>
    <row r="446" spans="2:2">
      <c r="B446" s="17">
        <v>46557</v>
      </c>
    </row>
    <row r="447" spans="2:2">
      <c r="B447" s="17">
        <v>46558</v>
      </c>
    </row>
    <row r="448" spans="2:2">
      <c r="B448" s="17">
        <v>46559</v>
      </c>
    </row>
    <row r="449" spans="2:2">
      <c r="B449" s="17">
        <v>46560</v>
      </c>
    </row>
    <row r="450" spans="2:2">
      <c r="B450" s="17">
        <v>46561</v>
      </c>
    </row>
    <row r="451" spans="2:2">
      <c r="B451" s="17">
        <v>46562</v>
      </c>
    </row>
    <row r="452" spans="2:2">
      <c r="B452" s="17">
        <v>46563</v>
      </c>
    </row>
    <row r="453" spans="2:2">
      <c r="B453" s="17">
        <v>46564</v>
      </c>
    </row>
    <row r="454" spans="2:2">
      <c r="B454" s="17">
        <v>46565</v>
      </c>
    </row>
    <row r="455" spans="2:2">
      <c r="B455" s="17">
        <v>46566</v>
      </c>
    </row>
    <row r="456" spans="2:2">
      <c r="B456" s="17">
        <v>46567</v>
      </c>
    </row>
    <row r="457" spans="2:2">
      <c r="B457" s="17">
        <v>46568</v>
      </c>
    </row>
    <row r="458" spans="2:2">
      <c r="B458" s="17">
        <v>46569</v>
      </c>
    </row>
    <row r="459" spans="2:2">
      <c r="B459" s="17">
        <v>46570</v>
      </c>
    </row>
    <row r="460" spans="2:2">
      <c r="B460" s="17">
        <v>46571</v>
      </c>
    </row>
    <row r="461" spans="2:2">
      <c r="B461" s="17">
        <v>46572</v>
      </c>
    </row>
    <row r="462" spans="2:2">
      <c r="B462" s="17">
        <v>46573</v>
      </c>
    </row>
    <row r="463" spans="2:2">
      <c r="B463" s="17">
        <v>46574</v>
      </c>
    </row>
    <row r="464" spans="2:2">
      <c r="B464" s="17">
        <v>46575</v>
      </c>
    </row>
    <row r="465" spans="2:2">
      <c r="B465" s="17">
        <v>46576</v>
      </c>
    </row>
    <row r="466" spans="2:2">
      <c r="B466" s="17">
        <v>46577</v>
      </c>
    </row>
    <row r="467" spans="2:2">
      <c r="B467" s="17">
        <v>46578</v>
      </c>
    </row>
    <row r="468" spans="2:2">
      <c r="B468" s="17">
        <v>46579</v>
      </c>
    </row>
    <row r="469" spans="2:2">
      <c r="B469" s="17">
        <v>46580</v>
      </c>
    </row>
    <row r="470" spans="2:2">
      <c r="B470" s="17">
        <v>46581</v>
      </c>
    </row>
    <row r="471" spans="2:2">
      <c r="B471" s="17">
        <v>46582</v>
      </c>
    </row>
    <row r="472" spans="2:2">
      <c r="B472" s="17">
        <v>46583</v>
      </c>
    </row>
    <row r="473" spans="2:2">
      <c r="B473" s="17">
        <v>46584</v>
      </c>
    </row>
    <row r="474" spans="2:2">
      <c r="B474" s="17">
        <v>46585</v>
      </c>
    </row>
    <row r="475" spans="2:2">
      <c r="B475" s="17">
        <v>46586</v>
      </c>
    </row>
    <row r="476" spans="2:2">
      <c r="B476" s="17">
        <v>46587</v>
      </c>
    </row>
    <row r="477" spans="2:2">
      <c r="B477" s="17">
        <v>46588</v>
      </c>
    </row>
    <row r="478" spans="2:2">
      <c r="B478" s="17">
        <v>46589</v>
      </c>
    </row>
    <row r="479" spans="2:2">
      <c r="B479" s="17">
        <v>46590</v>
      </c>
    </row>
    <row r="480" spans="2:2">
      <c r="B480" s="17">
        <v>46591</v>
      </c>
    </row>
    <row r="481" spans="2:2">
      <c r="B481" s="17">
        <v>46592</v>
      </c>
    </row>
    <row r="482" spans="2:2">
      <c r="B482" s="17">
        <v>46593</v>
      </c>
    </row>
    <row r="483" spans="2:2">
      <c r="B483" s="17">
        <v>46594</v>
      </c>
    </row>
    <row r="484" spans="2:2">
      <c r="B484" s="17">
        <v>46595</v>
      </c>
    </row>
    <row r="485" spans="2:2">
      <c r="B485" s="17">
        <v>46596</v>
      </c>
    </row>
    <row r="486" spans="2:2">
      <c r="B486" s="17">
        <v>46597</v>
      </c>
    </row>
    <row r="487" spans="2:2">
      <c r="B487" s="17">
        <v>46598</v>
      </c>
    </row>
    <row r="488" spans="2:2">
      <c r="B488" s="17">
        <v>46599</v>
      </c>
    </row>
    <row r="489" spans="2:2">
      <c r="B489" s="17">
        <v>46600</v>
      </c>
    </row>
    <row r="490" spans="2:2">
      <c r="B490" s="17">
        <v>46601</v>
      </c>
    </row>
    <row r="491" spans="2:2">
      <c r="B491" s="17">
        <v>46602</v>
      </c>
    </row>
    <row r="492" spans="2:2">
      <c r="B492" s="17">
        <v>46603</v>
      </c>
    </row>
    <row r="493" spans="2:2">
      <c r="B493" s="17">
        <v>46604</v>
      </c>
    </row>
    <row r="494" spans="2:2">
      <c r="B494" s="17">
        <v>46605</v>
      </c>
    </row>
    <row r="495" spans="2:2">
      <c r="B495" s="17">
        <v>46606</v>
      </c>
    </row>
    <row r="496" spans="2:2">
      <c r="B496" s="17">
        <v>46607</v>
      </c>
    </row>
    <row r="497" spans="2:2">
      <c r="B497" s="17">
        <v>46608</v>
      </c>
    </row>
    <row r="498" spans="2:2">
      <c r="B498" s="17">
        <v>46609</v>
      </c>
    </row>
    <row r="499" spans="2:2">
      <c r="B499" s="17">
        <v>46610</v>
      </c>
    </row>
    <row r="500" spans="2:2">
      <c r="B500" s="17">
        <v>46611</v>
      </c>
    </row>
    <row r="501" spans="2:2">
      <c r="B501" s="17">
        <v>46612</v>
      </c>
    </row>
    <row r="502" spans="2:2">
      <c r="B502" s="17">
        <v>46613</v>
      </c>
    </row>
    <row r="503" spans="2:2">
      <c r="B503" s="17">
        <v>46614</v>
      </c>
    </row>
    <row r="504" spans="2:2">
      <c r="B504" s="17">
        <v>46615</v>
      </c>
    </row>
    <row r="505" spans="2:2">
      <c r="B505" s="17">
        <v>46616</v>
      </c>
    </row>
    <row r="506" spans="2:2">
      <c r="B506" s="17">
        <v>46617</v>
      </c>
    </row>
    <row r="507" spans="2:2">
      <c r="B507" s="17">
        <v>46618</v>
      </c>
    </row>
    <row r="508" spans="2:2">
      <c r="B508" s="17">
        <v>46619</v>
      </c>
    </row>
    <row r="509" spans="2:2">
      <c r="B509" s="17">
        <v>46620</v>
      </c>
    </row>
    <row r="510" spans="2:2">
      <c r="B510" s="17">
        <v>46621</v>
      </c>
    </row>
    <row r="511" spans="2:2">
      <c r="B511" s="17">
        <v>46622</v>
      </c>
    </row>
    <row r="512" spans="2:2">
      <c r="B512" s="17">
        <v>46623</v>
      </c>
    </row>
    <row r="513" spans="2:2">
      <c r="B513" s="17">
        <v>46624</v>
      </c>
    </row>
    <row r="514" spans="2:2">
      <c r="B514" s="17">
        <v>46625</v>
      </c>
    </row>
    <row r="515" spans="2:2">
      <c r="B515" s="17">
        <v>46626</v>
      </c>
    </row>
    <row r="516" spans="2:2">
      <c r="B516" s="17">
        <v>46627</v>
      </c>
    </row>
    <row r="517" spans="2:2">
      <c r="B517" s="17">
        <v>46628</v>
      </c>
    </row>
    <row r="518" spans="2:2">
      <c r="B518" s="17">
        <v>46629</v>
      </c>
    </row>
    <row r="519" spans="2:2">
      <c r="B519" s="17">
        <v>46630</v>
      </c>
    </row>
    <row r="520" spans="2:2">
      <c r="B520" s="17">
        <v>46631</v>
      </c>
    </row>
    <row r="521" spans="2:2">
      <c r="B521" s="17">
        <v>46632</v>
      </c>
    </row>
    <row r="522" spans="2:2">
      <c r="B522" s="17">
        <v>46633</v>
      </c>
    </row>
    <row r="523" spans="2:2">
      <c r="B523" s="17">
        <v>46634</v>
      </c>
    </row>
    <row r="524" spans="2:2">
      <c r="B524" s="17">
        <v>46635</v>
      </c>
    </row>
    <row r="525" spans="2:2">
      <c r="B525" s="17">
        <v>46636</v>
      </c>
    </row>
    <row r="526" spans="2:2">
      <c r="B526" s="17">
        <v>46637</v>
      </c>
    </row>
    <row r="527" spans="2:2">
      <c r="B527" s="17">
        <v>46638</v>
      </c>
    </row>
    <row r="528" spans="2:2">
      <c r="B528" s="17">
        <v>46639</v>
      </c>
    </row>
    <row r="529" spans="2:2">
      <c r="B529" s="17">
        <v>46640</v>
      </c>
    </row>
    <row r="530" spans="2:2">
      <c r="B530" s="17">
        <v>46641</v>
      </c>
    </row>
    <row r="531" spans="2:2">
      <c r="B531" s="17">
        <v>46642</v>
      </c>
    </row>
    <row r="532" spans="2:2">
      <c r="B532" s="17">
        <v>46643</v>
      </c>
    </row>
    <row r="533" spans="2:2">
      <c r="B533" s="17">
        <v>46644</v>
      </c>
    </row>
    <row r="534" spans="2:2">
      <c r="B534" s="17">
        <v>46645</v>
      </c>
    </row>
    <row r="535" spans="2:2">
      <c r="B535" s="17">
        <v>46646</v>
      </c>
    </row>
    <row r="536" spans="2:2">
      <c r="B536" s="17">
        <v>46647</v>
      </c>
    </row>
    <row r="537" spans="2:2">
      <c r="B537" s="17">
        <v>46648</v>
      </c>
    </row>
    <row r="538" spans="2:2">
      <c r="B538" s="17">
        <v>46649</v>
      </c>
    </row>
    <row r="539" spans="2:2">
      <c r="B539" s="17">
        <v>46650</v>
      </c>
    </row>
    <row r="540" spans="2:2">
      <c r="B540" s="17">
        <v>46651</v>
      </c>
    </row>
    <row r="541" spans="2:2">
      <c r="B541" s="17">
        <v>46652</v>
      </c>
    </row>
    <row r="542" spans="2:2">
      <c r="B542" s="17">
        <v>46653</v>
      </c>
    </row>
    <row r="543" spans="2:2">
      <c r="B543" s="17">
        <v>46654</v>
      </c>
    </row>
    <row r="544" spans="2:2">
      <c r="B544" s="17">
        <v>46655</v>
      </c>
    </row>
    <row r="545" spans="2:2">
      <c r="B545" s="17">
        <v>46656</v>
      </c>
    </row>
    <row r="546" spans="2:2">
      <c r="B546" s="17">
        <v>46657</v>
      </c>
    </row>
    <row r="547" spans="2:2">
      <c r="B547" s="17">
        <v>46658</v>
      </c>
    </row>
    <row r="548" spans="2:2">
      <c r="B548" s="17">
        <v>46659</v>
      </c>
    </row>
    <row r="549" spans="2:2">
      <c r="B549" s="17">
        <v>46660</v>
      </c>
    </row>
    <row r="550" spans="2:2">
      <c r="B550" s="17">
        <v>46661</v>
      </c>
    </row>
    <row r="551" spans="2:2">
      <c r="B551" s="17">
        <v>46662</v>
      </c>
    </row>
    <row r="552" spans="2:2">
      <c r="B552" s="17">
        <v>46663</v>
      </c>
    </row>
    <row r="553" spans="2:2">
      <c r="B553" s="17">
        <v>46664</v>
      </c>
    </row>
    <row r="554" spans="2:2">
      <c r="B554" s="17">
        <v>46665</v>
      </c>
    </row>
    <row r="555" spans="2:2">
      <c r="B555" s="17">
        <v>46666</v>
      </c>
    </row>
    <row r="556" spans="2:2">
      <c r="B556" s="17">
        <v>46667</v>
      </c>
    </row>
    <row r="557" spans="2:2">
      <c r="B557" s="17">
        <v>46668</v>
      </c>
    </row>
    <row r="558" spans="2:2">
      <c r="B558" s="17">
        <v>46669</v>
      </c>
    </row>
    <row r="559" spans="2:2">
      <c r="B559" s="17">
        <v>46670</v>
      </c>
    </row>
    <row r="560" spans="2:2">
      <c r="B560" s="17">
        <v>46671</v>
      </c>
    </row>
    <row r="561" spans="2:2">
      <c r="B561" s="17">
        <v>46672</v>
      </c>
    </row>
    <row r="562" spans="2:2">
      <c r="B562" s="17">
        <v>46673</v>
      </c>
    </row>
    <row r="563" spans="2:2">
      <c r="B563" s="17">
        <v>46674</v>
      </c>
    </row>
    <row r="564" spans="2:2">
      <c r="B564" s="17">
        <v>46675</v>
      </c>
    </row>
    <row r="565" spans="2:2">
      <c r="B565" s="17">
        <v>46676</v>
      </c>
    </row>
    <row r="566" spans="2:2">
      <c r="B566" s="17">
        <v>46677</v>
      </c>
    </row>
    <row r="567" spans="2:2">
      <c r="B567" s="17">
        <v>46678</v>
      </c>
    </row>
    <row r="568" spans="2:2">
      <c r="B568" s="17">
        <v>46679</v>
      </c>
    </row>
    <row r="569" spans="2:2">
      <c r="B569" s="17">
        <v>46680</v>
      </c>
    </row>
    <row r="570" spans="2:2">
      <c r="B570" s="17">
        <v>46681</v>
      </c>
    </row>
    <row r="571" spans="2:2">
      <c r="B571" s="17">
        <v>46682</v>
      </c>
    </row>
    <row r="572" spans="2:2">
      <c r="B572" s="17">
        <v>46683</v>
      </c>
    </row>
    <row r="573" spans="2:2">
      <c r="B573" s="17">
        <v>46684</v>
      </c>
    </row>
    <row r="574" spans="2:2">
      <c r="B574" s="17">
        <v>46685</v>
      </c>
    </row>
    <row r="575" spans="2:2">
      <c r="B575" s="17">
        <v>46686</v>
      </c>
    </row>
    <row r="576" spans="2:2">
      <c r="B576" s="17">
        <v>46687</v>
      </c>
    </row>
    <row r="577" spans="2:2">
      <c r="B577" s="17">
        <v>46688</v>
      </c>
    </row>
    <row r="578" spans="2:2">
      <c r="B578" s="17">
        <v>46689</v>
      </c>
    </row>
    <row r="579" spans="2:2">
      <c r="B579" s="17">
        <v>46690</v>
      </c>
    </row>
    <row r="580" spans="2:2">
      <c r="B580" s="17">
        <v>46691</v>
      </c>
    </row>
    <row r="581" spans="2:2">
      <c r="B581" s="17">
        <v>46692</v>
      </c>
    </row>
    <row r="582" spans="2:2">
      <c r="B582" s="17">
        <v>46693</v>
      </c>
    </row>
    <row r="583" spans="2:2">
      <c r="B583" s="17">
        <v>46694</v>
      </c>
    </row>
    <row r="584" spans="2:2">
      <c r="B584" s="17">
        <v>46695</v>
      </c>
    </row>
    <row r="585" spans="2:2">
      <c r="B585" s="17">
        <v>46696</v>
      </c>
    </row>
    <row r="586" spans="2:2">
      <c r="B586" s="17">
        <v>46697</v>
      </c>
    </row>
    <row r="587" spans="2:2">
      <c r="B587" s="17">
        <v>46698</v>
      </c>
    </row>
    <row r="588" spans="2:2">
      <c r="B588" s="17">
        <v>46699</v>
      </c>
    </row>
    <row r="589" spans="2:2">
      <c r="B589" s="17">
        <v>46700</v>
      </c>
    </row>
    <row r="590" spans="2:2">
      <c r="B590" s="17">
        <v>46701</v>
      </c>
    </row>
    <row r="591" spans="2:2">
      <c r="B591" s="17">
        <v>46702</v>
      </c>
    </row>
    <row r="592" spans="2:2">
      <c r="B592" s="17">
        <v>46703</v>
      </c>
    </row>
    <row r="593" spans="2:2">
      <c r="B593" s="17">
        <v>46704</v>
      </c>
    </row>
    <row r="594" spans="2:2">
      <c r="B594" s="17">
        <v>46705</v>
      </c>
    </row>
    <row r="595" spans="2:2">
      <c r="B595" s="17">
        <v>46706</v>
      </c>
    </row>
    <row r="596" spans="2:2">
      <c r="B596" s="17">
        <v>46707</v>
      </c>
    </row>
    <row r="597" spans="2:2">
      <c r="B597" s="17">
        <v>46708</v>
      </c>
    </row>
    <row r="598" spans="2:2">
      <c r="B598" s="17">
        <v>46709</v>
      </c>
    </row>
    <row r="599" spans="2:2">
      <c r="B599" s="17">
        <v>46710</v>
      </c>
    </row>
    <row r="600" spans="2:2">
      <c r="B600" s="17">
        <v>46711</v>
      </c>
    </row>
    <row r="601" spans="2:2">
      <c r="B601" s="17">
        <v>46712</v>
      </c>
    </row>
    <row r="602" spans="2:2">
      <c r="B602" s="17">
        <v>46713</v>
      </c>
    </row>
    <row r="603" spans="2:2">
      <c r="B603" s="17">
        <v>46714</v>
      </c>
    </row>
    <row r="604" spans="2:2">
      <c r="B604" s="17">
        <v>46715</v>
      </c>
    </row>
    <row r="605" spans="2:2">
      <c r="B605" s="17">
        <v>46716</v>
      </c>
    </row>
  </sheetData>
  <mergeCells count="7">
    <mergeCell ref="A185:A215"/>
    <mergeCell ref="A155:A184"/>
    <mergeCell ref="A2:A31"/>
    <mergeCell ref="A32:A62"/>
    <mergeCell ref="A63:A92"/>
    <mergeCell ref="A93:A123"/>
    <mergeCell ref="A124:A1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5"/>
  <sheetViews>
    <sheetView topLeftCell="H1" zoomScale="70" zoomScaleNormal="70" workbookViewId="0">
      <pane ySplit="1" topLeftCell="A172" activePane="bottomLeft" state="frozen"/>
      <selection pane="bottomLeft" activeCell="H2" sqref="H2:N195"/>
    </sheetView>
  </sheetViews>
  <sheetFormatPr defaultRowHeight="15"/>
  <cols>
    <col min="1" max="1" width="9.140625" style="16"/>
    <col min="2" max="2" width="17" style="16" customWidth="1"/>
    <col min="3" max="3" width="25.5703125" customWidth="1"/>
    <col min="4" max="4" width="23.5703125" style="16" customWidth="1"/>
    <col min="5" max="5" width="16.5703125" style="16" customWidth="1"/>
    <col min="6" max="6" width="13.7109375" customWidth="1"/>
    <col min="7" max="7" width="19" customWidth="1"/>
    <col min="8" max="8" width="27.140625" customWidth="1"/>
    <col min="9" max="11" width="27.140625" style="16" customWidth="1"/>
    <col min="12" max="12" width="20.28515625" customWidth="1"/>
    <col min="13" max="13" width="21.7109375" customWidth="1"/>
    <col min="14" max="14" width="21.5703125" customWidth="1"/>
  </cols>
  <sheetData>
    <row r="1" spans="1:14" ht="136.5" customHeight="1">
      <c r="A1" s="34" t="s">
        <v>3</v>
      </c>
      <c r="B1" s="35" t="s">
        <v>20</v>
      </c>
      <c r="C1" s="36" t="s">
        <v>36</v>
      </c>
      <c r="D1" s="36" t="s">
        <v>37</v>
      </c>
      <c r="E1" s="36" t="s">
        <v>38</v>
      </c>
      <c r="F1" s="36" t="s">
        <v>39</v>
      </c>
      <c r="G1" s="36" t="s">
        <v>40</v>
      </c>
      <c r="H1" s="36" t="s">
        <v>41</v>
      </c>
      <c r="I1" s="36" t="s">
        <v>42</v>
      </c>
      <c r="J1" s="36" t="s">
        <v>43</v>
      </c>
      <c r="K1" s="36" t="s">
        <v>44</v>
      </c>
      <c r="L1" s="36" t="s">
        <v>45</v>
      </c>
      <c r="M1" s="36" t="s">
        <v>46</v>
      </c>
      <c r="N1" s="36" t="s">
        <v>47</v>
      </c>
    </row>
    <row r="2" spans="1:14">
      <c r="A2" s="48" t="s">
        <v>8</v>
      </c>
      <c r="B2" s="28">
        <v>46113</v>
      </c>
      <c r="C2" s="53">
        <v>0</v>
      </c>
      <c r="D2" s="53">
        <v>24</v>
      </c>
      <c r="E2" s="54">
        <v>24</v>
      </c>
      <c r="F2" s="55">
        <f>C2/24</f>
        <v>0</v>
      </c>
      <c r="G2" s="55">
        <f>D2/24</f>
        <v>1</v>
      </c>
      <c r="H2" s="58">
        <f>E2/24</f>
        <v>1</v>
      </c>
      <c r="I2" s="56">
        <v>0</v>
      </c>
      <c r="J2" s="56">
        <v>1</v>
      </c>
      <c r="K2" s="56">
        <v>1</v>
      </c>
      <c r="L2" s="58">
        <f>SUM($C$2:C2)/(COUNT($C$2:C2)*24)</f>
        <v>0</v>
      </c>
      <c r="M2" s="58">
        <f>SUM(D$2:$D2)/(COUNT($D$2:D2)*24)</f>
        <v>1</v>
      </c>
      <c r="N2" s="58">
        <f>SUM($E$2:E2)/(COUNT($E$2:E2)*24)</f>
        <v>1</v>
      </c>
    </row>
    <row r="3" spans="1:14">
      <c r="A3" s="44"/>
      <c r="B3" s="17">
        <v>46114</v>
      </c>
      <c r="C3" s="53">
        <v>0</v>
      </c>
      <c r="D3" s="53">
        <v>24</v>
      </c>
      <c r="E3" s="53">
        <v>24</v>
      </c>
      <c r="F3" s="55">
        <f t="shared" ref="F3:F66" si="0">C3/24</f>
        <v>0</v>
      </c>
      <c r="G3" s="55">
        <f t="shared" ref="G3:G66" si="1">D3/24</f>
        <v>1</v>
      </c>
      <c r="H3" s="58">
        <f t="shared" ref="H3:H66" si="2">E3/24</f>
        <v>1</v>
      </c>
      <c r="I3" s="56">
        <v>0</v>
      </c>
      <c r="J3" s="56">
        <v>1</v>
      </c>
      <c r="K3" s="56">
        <v>1</v>
      </c>
      <c r="L3" s="58">
        <f>SUM($C$2:C3)/(COUNT($C$2:C3)*24)</f>
        <v>0</v>
      </c>
      <c r="M3" s="58">
        <f>SUM(D$2:$D3)/(COUNT($D$2:D3)*24)</f>
        <v>1</v>
      </c>
      <c r="N3" s="58">
        <f>SUM($E$2:E3)/(COUNT($E$2:E3)*24)</f>
        <v>1</v>
      </c>
    </row>
    <row r="4" spans="1:14">
      <c r="A4" s="44"/>
      <c r="B4" s="17">
        <v>46115</v>
      </c>
      <c r="C4" s="53">
        <v>0</v>
      </c>
      <c r="D4" s="53">
        <v>24</v>
      </c>
      <c r="E4" s="53">
        <v>24</v>
      </c>
      <c r="F4" s="55">
        <f t="shared" si="0"/>
        <v>0</v>
      </c>
      <c r="G4" s="55">
        <f t="shared" si="1"/>
        <v>1</v>
      </c>
      <c r="H4" s="58">
        <f t="shared" si="2"/>
        <v>1</v>
      </c>
      <c r="I4" s="56">
        <v>0</v>
      </c>
      <c r="J4" s="56">
        <v>1</v>
      </c>
      <c r="K4" s="56">
        <v>1</v>
      </c>
      <c r="L4" s="58">
        <f>SUM($C$2:C4)/(COUNT($C$2:C4)*24)</f>
        <v>0</v>
      </c>
      <c r="M4" s="58">
        <f>SUM(D$2:$D4)/(COUNT($D$2:D4)*24)</f>
        <v>1</v>
      </c>
      <c r="N4" s="58">
        <f>SUM($E$2:E4)/(COUNT($E$2:E4)*24)</f>
        <v>1</v>
      </c>
    </row>
    <row r="5" spans="1:14">
      <c r="A5" s="44"/>
      <c r="B5" s="17">
        <v>46116</v>
      </c>
      <c r="C5" s="53">
        <v>0</v>
      </c>
      <c r="D5" s="53">
        <v>24</v>
      </c>
      <c r="E5" s="53">
        <v>24</v>
      </c>
      <c r="F5" s="55">
        <f t="shared" si="0"/>
        <v>0</v>
      </c>
      <c r="G5" s="55">
        <f t="shared" si="1"/>
        <v>1</v>
      </c>
      <c r="H5" s="58">
        <f t="shared" si="2"/>
        <v>1</v>
      </c>
      <c r="I5" s="56">
        <v>0</v>
      </c>
      <c r="J5" s="56">
        <v>1</v>
      </c>
      <c r="K5" s="56">
        <v>1</v>
      </c>
      <c r="L5" s="58">
        <f>SUM($C$2:C5)/(COUNT($C$2:C5)*24)</f>
        <v>0</v>
      </c>
      <c r="M5" s="58">
        <f>SUM(D$2:$D5)/(COUNT($D$2:D5)*24)</f>
        <v>1</v>
      </c>
      <c r="N5" s="58">
        <f>SUM($E$2:E5)/(COUNT($E$2:E5)*24)</f>
        <v>1</v>
      </c>
    </row>
    <row r="6" spans="1:14">
      <c r="A6" s="44"/>
      <c r="B6" s="17">
        <v>46117</v>
      </c>
      <c r="C6" s="53">
        <v>0</v>
      </c>
      <c r="D6" s="53">
        <v>24</v>
      </c>
      <c r="E6" s="53">
        <v>24</v>
      </c>
      <c r="F6" s="55">
        <f t="shared" si="0"/>
        <v>0</v>
      </c>
      <c r="G6" s="55">
        <f t="shared" si="1"/>
        <v>1</v>
      </c>
      <c r="H6" s="58">
        <f t="shared" si="2"/>
        <v>1</v>
      </c>
      <c r="I6" s="56">
        <v>0</v>
      </c>
      <c r="J6" s="56">
        <v>1</v>
      </c>
      <c r="K6" s="56">
        <v>1</v>
      </c>
      <c r="L6" s="58">
        <f>SUM($C$2:C6)/(COUNT($C$2:C6)*24)</f>
        <v>0</v>
      </c>
      <c r="M6" s="58">
        <f>SUM(D$2:$D6)/(COUNT($D$2:D6)*24)</f>
        <v>1</v>
      </c>
      <c r="N6" s="58">
        <f>SUM($E$2:E6)/(COUNT($E$2:E6)*24)</f>
        <v>1</v>
      </c>
    </row>
    <row r="7" spans="1:14">
      <c r="A7" s="44"/>
      <c r="B7" s="17">
        <v>46118</v>
      </c>
      <c r="C7" s="53">
        <v>0</v>
      </c>
      <c r="D7" s="53">
        <v>24</v>
      </c>
      <c r="E7" s="53">
        <v>24</v>
      </c>
      <c r="F7" s="55">
        <f t="shared" si="0"/>
        <v>0</v>
      </c>
      <c r="G7" s="55">
        <f t="shared" si="1"/>
        <v>1</v>
      </c>
      <c r="H7" s="58">
        <f t="shared" si="2"/>
        <v>1</v>
      </c>
      <c r="I7" s="56">
        <v>0</v>
      </c>
      <c r="J7" s="56">
        <v>1</v>
      </c>
      <c r="K7" s="56">
        <v>1</v>
      </c>
      <c r="L7" s="58">
        <f>SUM($C$2:C7)/(COUNT($C$2:C7)*24)</f>
        <v>0</v>
      </c>
      <c r="M7" s="58">
        <f>SUM(D$2:$D7)/(COUNT($D$2:D7)*24)</f>
        <v>1</v>
      </c>
      <c r="N7" s="58">
        <f>SUM($E$2:E7)/(COUNT($E$2:E7)*24)</f>
        <v>1</v>
      </c>
    </row>
    <row r="8" spans="1:14">
      <c r="A8" s="44"/>
      <c r="B8" s="17">
        <v>46119</v>
      </c>
      <c r="C8" s="53">
        <v>0</v>
      </c>
      <c r="D8" s="53">
        <v>24</v>
      </c>
      <c r="E8" s="53">
        <v>24</v>
      </c>
      <c r="F8" s="55">
        <f t="shared" si="0"/>
        <v>0</v>
      </c>
      <c r="G8" s="55">
        <f t="shared" si="1"/>
        <v>1</v>
      </c>
      <c r="H8" s="58">
        <f t="shared" si="2"/>
        <v>1</v>
      </c>
      <c r="I8" s="56">
        <v>0</v>
      </c>
      <c r="J8" s="56">
        <v>1</v>
      </c>
      <c r="K8" s="56">
        <v>1</v>
      </c>
      <c r="L8" s="58">
        <f>SUM($C$2:C8)/(COUNT($C$2:C8)*24)</f>
        <v>0</v>
      </c>
      <c r="M8" s="58">
        <f>SUM(D$2:$D8)/(COUNT($D$2:D8)*24)</f>
        <v>1</v>
      </c>
      <c r="N8" s="58">
        <f>SUM($E$2:E8)/(COUNT($E$2:E8)*24)</f>
        <v>1</v>
      </c>
    </row>
    <row r="9" spans="1:14">
      <c r="A9" s="44"/>
      <c r="B9" s="17">
        <v>46120</v>
      </c>
      <c r="C9" s="53">
        <v>0</v>
      </c>
      <c r="D9" s="53">
        <v>24</v>
      </c>
      <c r="E9" s="53">
        <v>24</v>
      </c>
      <c r="F9" s="55">
        <f t="shared" si="0"/>
        <v>0</v>
      </c>
      <c r="G9" s="55">
        <f t="shared" si="1"/>
        <v>1</v>
      </c>
      <c r="H9" s="58">
        <f t="shared" si="2"/>
        <v>1</v>
      </c>
      <c r="I9" s="56">
        <v>0</v>
      </c>
      <c r="J9" s="56">
        <v>1</v>
      </c>
      <c r="K9" s="56">
        <v>1</v>
      </c>
      <c r="L9" s="58">
        <f>SUM($C$2:C9)/(COUNT($C$2:C9)*24)</f>
        <v>0</v>
      </c>
      <c r="M9" s="58">
        <f>SUM(D$2:$D9)/(COUNT($D$2:D9)*24)</f>
        <v>1</v>
      </c>
      <c r="N9" s="58">
        <f>SUM($E$2:E9)/(COUNT($E$2:E9)*24)</f>
        <v>1</v>
      </c>
    </row>
    <row r="10" spans="1:14">
      <c r="A10" s="44"/>
      <c r="B10" s="17">
        <v>46121</v>
      </c>
      <c r="C10" s="53">
        <v>0</v>
      </c>
      <c r="D10" s="53">
        <v>24</v>
      </c>
      <c r="E10" s="53">
        <v>24</v>
      </c>
      <c r="F10" s="55">
        <f t="shared" si="0"/>
        <v>0</v>
      </c>
      <c r="G10" s="55">
        <f t="shared" si="1"/>
        <v>1</v>
      </c>
      <c r="H10" s="58">
        <f t="shared" si="2"/>
        <v>1</v>
      </c>
      <c r="I10" s="56">
        <v>0</v>
      </c>
      <c r="J10" s="56">
        <v>1</v>
      </c>
      <c r="K10" s="56">
        <v>1</v>
      </c>
      <c r="L10" s="58">
        <f>SUM($C$2:C10)/(COUNT($C$2:C10)*24)</f>
        <v>0</v>
      </c>
      <c r="M10" s="58">
        <f>SUM(D$2:$D10)/(COUNT($D$2:D10)*24)</f>
        <v>1</v>
      </c>
      <c r="N10" s="58">
        <f>SUM($E$2:E10)/(COUNT($E$2:E10)*24)</f>
        <v>1</v>
      </c>
    </row>
    <row r="11" spans="1:14">
      <c r="A11" s="44"/>
      <c r="B11" s="17">
        <v>46122</v>
      </c>
      <c r="C11" s="53">
        <v>0</v>
      </c>
      <c r="D11" s="53">
        <v>24</v>
      </c>
      <c r="E11" s="53">
        <v>24</v>
      </c>
      <c r="F11" s="55">
        <f t="shared" si="0"/>
        <v>0</v>
      </c>
      <c r="G11" s="55">
        <f t="shared" si="1"/>
        <v>1</v>
      </c>
      <c r="H11" s="58">
        <f t="shared" si="2"/>
        <v>1</v>
      </c>
      <c r="I11" s="56">
        <v>0</v>
      </c>
      <c r="J11" s="56">
        <v>1</v>
      </c>
      <c r="K11" s="56">
        <v>1</v>
      </c>
      <c r="L11" s="58">
        <f>SUM($C$2:C11)/(COUNT($C$2:C11)*24)</f>
        <v>0</v>
      </c>
      <c r="M11" s="58">
        <f>SUM(D$2:$D11)/(COUNT($D$2:D11)*24)</f>
        <v>1</v>
      </c>
      <c r="N11" s="58">
        <f>SUM($E$2:E11)/(COUNT($E$2:E11)*24)</f>
        <v>1</v>
      </c>
    </row>
    <row r="12" spans="1:14">
      <c r="A12" s="44"/>
      <c r="B12" s="17">
        <v>46123</v>
      </c>
      <c r="C12" s="53">
        <v>0</v>
      </c>
      <c r="D12" s="53">
        <v>24</v>
      </c>
      <c r="E12" s="53">
        <v>24</v>
      </c>
      <c r="F12" s="55">
        <f t="shared" si="0"/>
        <v>0</v>
      </c>
      <c r="G12" s="55">
        <f t="shared" si="1"/>
        <v>1</v>
      </c>
      <c r="H12" s="58">
        <f t="shared" si="2"/>
        <v>1</v>
      </c>
      <c r="I12" s="56">
        <v>0</v>
      </c>
      <c r="J12" s="56">
        <v>1</v>
      </c>
      <c r="K12" s="56">
        <v>1</v>
      </c>
      <c r="L12" s="58">
        <f>SUM($C$2:C12)/(COUNT($C$2:C12)*24)</f>
        <v>0</v>
      </c>
      <c r="M12" s="58">
        <f>SUM(D$2:$D12)/(COUNT($D$2:D12)*24)</f>
        <v>1</v>
      </c>
      <c r="N12" s="58">
        <f>SUM($E$2:E12)/(COUNT($E$2:E12)*24)</f>
        <v>1</v>
      </c>
    </row>
    <row r="13" spans="1:14">
      <c r="A13" s="44"/>
      <c r="B13" s="17">
        <v>46124</v>
      </c>
      <c r="C13" s="53">
        <v>0</v>
      </c>
      <c r="D13" s="53">
        <v>24</v>
      </c>
      <c r="E13" s="53">
        <v>24</v>
      </c>
      <c r="F13" s="55">
        <f t="shared" si="0"/>
        <v>0</v>
      </c>
      <c r="G13" s="55">
        <f t="shared" si="1"/>
        <v>1</v>
      </c>
      <c r="H13" s="58">
        <f t="shared" si="2"/>
        <v>1</v>
      </c>
      <c r="I13" s="56">
        <v>0</v>
      </c>
      <c r="J13" s="56">
        <v>1</v>
      </c>
      <c r="K13" s="56">
        <v>1</v>
      </c>
      <c r="L13" s="58">
        <f>SUM($C$2:C13)/(COUNT($C$2:C13)*24)</f>
        <v>0</v>
      </c>
      <c r="M13" s="58">
        <f>SUM(D$2:$D13)/(COUNT($D$2:D13)*24)</f>
        <v>1</v>
      </c>
      <c r="N13" s="58">
        <f>SUM($E$2:E13)/(COUNT($E$2:E13)*24)</f>
        <v>1</v>
      </c>
    </row>
    <row r="14" spans="1:14">
      <c r="A14" s="44"/>
      <c r="B14" s="17">
        <v>46125</v>
      </c>
      <c r="C14" s="53">
        <v>0</v>
      </c>
      <c r="D14" s="53">
        <v>24</v>
      </c>
      <c r="E14" s="54">
        <v>6.13</v>
      </c>
      <c r="F14" s="55">
        <f t="shared" si="0"/>
        <v>0</v>
      </c>
      <c r="G14" s="55">
        <f t="shared" si="1"/>
        <v>1</v>
      </c>
      <c r="H14" s="58">
        <f t="shared" si="2"/>
        <v>0.25541666666666668</v>
      </c>
      <c r="I14" s="56">
        <v>0</v>
      </c>
      <c r="J14" s="56">
        <v>1</v>
      </c>
      <c r="K14" s="56">
        <v>0.94269999999999998</v>
      </c>
      <c r="L14" s="58">
        <f>SUM($C$2:C14)/(COUNT($C$2:C14)*24)</f>
        <v>0</v>
      </c>
      <c r="M14" s="58">
        <f>SUM(D$2:$D14)/(COUNT($D$2:D14)*24)</f>
        <v>1</v>
      </c>
      <c r="N14" s="58">
        <f>SUM($E$2:E14)/(COUNT($E$2:E14)*24)</f>
        <v>0.94272435897435891</v>
      </c>
    </row>
    <row r="15" spans="1:14">
      <c r="A15" s="44"/>
      <c r="B15" s="17">
        <v>46126</v>
      </c>
      <c r="C15" s="53">
        <v>0</v>
      </c>
      <c r="D15" s="53">
        <v>0</v>
      </c>
      <c r="E15" s="54">
        <v>15.62</v>
      </c>
      <c r="F15" s="55">
        <f t="shared" si="0"/>
        <v>0</v>
      </c>
      <c r="G15" s="55">
        <f t="shared" si="1"/>
        <v>0</v>
      </c>
      <c r="H15" s="58">
        <f t="shared" si="2"/>
        <v>0.65083333333333326</v>
      </c>
      <c r="I15" s="56">
        <v>0</v>
      </c>
      <c r="J15" s="56">
        <v>0.92859999999999998</v>
      </c>
      <c r="K15" s="56">
        <v>0.92190000000000005</v>
      </c>
      <c r="L15" s="58">
        <f>SUM($C$2:C15)/(COUNT($C$2:C15)*24)</f>
        <v>0</v>
      </c>
      <c r="M15" s="58">
        <f>SUM(D$2:$D15)/(COUNT($D$2:D15)*24)</f>
        <v>0.9285714285714286</v>
      </c>
      <c r="N15" s="58">
        <f>SUM($E$2:E15)/(COUNT($E$2:E15)*24)</f>
        <v>0.921875</v>
      </c>
    </row>
    <row r="16" spans="1:14">
      <c r="A16" s="44"/>
      <c r="B16" s="17">
        <v>46127</v>
      </c>
      <c r="C16" s="53">
        <v>0</v>
      </c>
      <c r="D16" s="53">
        <v>0</v>
      </c>
      <c r="E16" s="53">
        <v>24</v>
      </c>
      <c r="F16" s="55">
        <f t="shared" si="0"/>
        <v>0</v>
      </c>
      <c r="G16" s="55">
        <f t="shared" si="1"/>
        <v>0</v>
      </c>
      <c r="H16" s="58">
        <f t="shared" si="2"/>
        <v>1</v>
      </c>
      <c r="I16" s="56">
        <v>0</v>
      </c>
      <c r="J16" s="56">
        <v>0.86670000000000003</v>
      </c>
      <c r="K16" s="56">
        <v>0.92710000000000004</v>
      </c>
      <c r="L16" s="58">
        <f>SUM($C$2:C16)/(COUNT($C$2:C16)*24)</f>
        <v>0</v>
      </c>
      <c r="M16" s="58">
        <f>SUM(D$2:$D16)/(COUNT($D$2:D16)*24)</f>
        <v>0.8666666666666667</v>
      </c>
      <c r="N16" s="58">
        <f>SUM($E$2:E16)/(COUNT($E$2:E16)*24)</f>
        <v>0.92708333333333337</v>
      </c>
    </row>
    <row r="17" spans="1:14">
      <c r="A17" s="44"/>
      <c r="B17" s="17">
        <v>46128</v>
      </c>
      <c r="C17" s="53">
        <v>0</v>
      </c>
      <c r="D17" s="53">
        <v>12</v>
      </c>
      <c r="E17" s="54">
        <v>13.78</v>
      </c>
      <c r="F17" s="55">
        <f t="shared" si="0"/>
        <v>0</v>
      </c>
      <c r="G17" s="55">
        <f t="shared" si="1"/>
        <v>0.5</v>
      </c>
      <c r="H17" s="58">
        <f t="shared" si="2"/>
        <v>0.5741666666666666</v>
      </c>
      <c r="I17" s="56">
        <v>0</v>
      </c>
      <c r="J17" s="56">
        <v>0.84379999999999999</v>
      </c>
      <c r="K17" s="56">
        <v>0.90500000000000003</v>
      </c>
      <c r="L17" s="58">
        <f>SUM($C$2:C17)/(COUNT($C$2:C17)*24)</f>
        <v>0</v>
      </c>
      <c r="M17" s="58">
        <f>SUM(D$2:$D17)/(COUNT($D$2:D17)*24)</f>
        <v>0.84375</v>
      </c>
      <c r="N17" s="58">
        <f>SUM($E$2:E17)/(COUNT($E$2:E17)*24)</f>
        <v>0.90502604166666656</v>
      </c>
    </row>
    <row r="18" spans="1:14">
      <c r="A18" s="44"/>
      <c r="B18" s="17">
        <v>46129</v>
      </c>
      <c r="C18" s="54">
        <v>14.63</v>
      </c>
      <c r="D18" s="53">
        <v>24</v>
      </c>
      <c r="E18" s="54">
        <v>17.600000000000001</v>
      </c>
      <c r="F18" s="55">
        <f t="shared" si="0"/>
        <v>0.60958333333333337</v>
      </c>
      <c r="G18" s="55">
        <f t="shared" si="1"/>
        <v>1</v>
      </c>
      <c r="H18" s="58">
        <f t="shared" si="2"/>
        <v>0.73333333333333339</v>
      </c>
      <c r="I18" s="56">
        <v>3.5900000000000001E-2</v>
      </c>
      <c r="J18" s="56">
        <v>0.85289999999999999</v>
      </c>
      <c r="K18" s="56">
        <v>0.89490000000000003</v>
      </c>
      <c r="L18" s="58">
        <f>SUM($C$2:C18)/(COUNT($C$2:C18)*24)</f>
        <v>3.5857843137254902E-2</v>
      </c>
      <c r="M18" s="58">
        <f>SUM(D$2:$D18)/(COUNT($D$2:D18)*24)</f>
        <v>0.8529411764705882</v>
      </c>
      <c r="N18" s="58">
        <f>SUM($E$2:E18)/(COUNT($E$2:E18)*24)</f>
        <v>0.89492647058823527</v>
      </c>
    </row>
    <row r="19" spans="1:14">
      <c r="A19" s="44"/>
      <c r="B19" s="17">
        <v>46130</v>
      </c>
      <c r="C19" s="54">
        <v>24</v>
      </c>
      <c r="D19" s="53">
        <v>10</v>
      </c>
      <c r="E19" s="54">
        <v>0</v>
      </c>
      <c r="F19" s="55">
        <f t="shared" si="0"/>
        <v>1</v>
      </c>
      <c r="G19" s="55">
        <f t="shared" si="1"/>
        <v>0.41666666666666669</v>
      </c>
      <c r="H19" s="58">
        <f t="shared" si="2"/>
        <v>0</v>
      </c>
      <c r="I19" s="56">
        <v>8.9399999999999993E-2</v>
      </c>
      <c r="J19" s="56">
        <v>0.82869999999999999</v>
      </c>
      <c r="K19" s="56">
        <v>0.84519999999999995</v>
      </c>
      <c r="L19" s="58">
        <f>SUM($C$2:C19)/(COUNT($C$2:C19)*24)</f>
        <v>8.9421296296296304E-2</v>
      </c>
      <c r="M19" s="58">
        <f>SUM(D$2:$D19)/(COUNT($D$2:D19)*24)</f>
        <v>0.82870370370370372</v>
      </c>
      <c r="N19" s="58">
        <f>SUM($E$2:E19)/(COUNT($E$2:E19)*24)</f>
        <v>0.84520833333333334</v>
      </c>
    </row>
    <row r="20" spans="1:14">
      <c r="A20" s="44"/>
      <c r="B20" s="17">
        <v>46131</v>
      </c>
      <c r="C20" s="54">
        <v>24</v>
      </c>
      <c r="D20" s="53">
        <v>0</v>
      </c>
      <c r="E20" s="54">
        <v>16</v>
      </c>
      <c r="F20" s="55">
        <f t="shared" si="0"/>
        <v>1</v>
      </c>
      <c r="G20" s="55">
        <f t="shared" si="1"/>
        <v>0</v>
      </c>
      <c r="H20" s="58">
        <f t="shared" si="2"/>
        <v>0.66666666666666663</v>
      </c>
      <c r="I20" s="56">
        <v>0.13730000000000001</v>
      </c>
      <c r="J20" s="56">
        <v>0.78510000000000002</v>
      </c>
      <c r="K20" s="56">
        <v>0.83579999999999999</v>
      </c>
      <c r="L20" s="58">
        <f>SUM($C$2:C20)/(COUNT($C$2:C20)*24)</f>
        <v>0.13734649122807019</v>
      </c>
      <c r="M20" s="58">
        <f>SUM(D$2:$D20)/(COUNT($D$2:D20)*24)</f>
        <v>0.78508771929824561</v>
      </c>
      <c r="N20" s="58">
        <f>SUM($E$2:E20)/(COUNT($E$2:E20)*24)</f>
        <v>0.83581140350877192</v>
      </c>
    </row>
    <row r="21" spans="1:14">
      <c r="A21" s="44"/>
      <c r="B21" s="17">
        <v>46132</v>
      </c>
      <c r="C21" s="54">
        <v>24</v>
      </c>
      <c r="D21" s="53">
        <v>0</v>
      </c>
      <c r="E21" s="53">
        <v>24</v>
      </c>
      <c r="F21" s="55">
        <f t="shared" si="0"/>
        <v>1</v>
      </c>
      <c r="G21" s="55">
        <f t="shared" si="1"/>
        <v>0</v>
      </c>
      <c r="H21" s="58">
        <f t="shared" si="2"/>
        <v>1</v>
      </c>
      <c r="I21" s="56">
        <v>0.18049999999999999</v>
      </c>
      <c r="J21" s="56">
        <v>0.74580000000000002</v>
      </c>
      <c r="K21" s="56">
        <v>0.84399999999999997</v>
      </c>
      <c r="L21" s="58">
        <f>SUM($C$2:C21)/(COUNT($C$2:C21)*24)</f>
        <v>0.18047916666666666</v>
      </c>
      <c r="M21" s="58">
        <f>SUM(D$2:$D21)/(COUNT($D$2:D21)*24)</f>
        <v>0.74583333333333335</v>
      </c>
      <c r="N21" s="58">
        <f>SUM($E$2:E21)/(COUNT($E$2:E21)*24)</f>
        <v>0.84402083333333333</v>
      </c>
    </row>
    <row r="22" spans="1:14">
      <c r="A22" s="44"/>
      <c r="B22" s="17">
        <v>46133</v>
      </c>
      <c r="C22" s="54">
        <v>6.16</v>
      </c>
      <c r="D22" s="53">
        <v>5</v>
      </c>
      <c r="E22" s="53">
        <v>24</v>
      </c>
      <c r="F22" s="55">
        <f t="shared" si="0"/>
        <v>0.25666666666666665</v>
      </c>
      <c r="G22" s="55">
        <f t="shared" si="1"/>
        <v>0.20833333333333334</v>
      </c>
      <c r="H22" s="58">
        <f t="shared" si="2"/>
        <v>1</v>
      </c>
      <c r="I22" s="56">
        <v>0.18410000000000001</v>
      </c>
      <c r="J22" s="56">
        <v>0.72019999999999995</v>
      </c>
      <c r="K22" s="56">
        <v>0.85140000000000005</v>
      </c>
      <c r="L22" s="58">
        <f>SUM($C$2:C22)/(COUNT($C$2:C22)*24)</f>
        <v>0.18410714285714283</v>
      </c>
      <c r="M22" s="58">
        <f>SUM(D$2:$D22)/(COUNT($D$2:D22)*24)</f>
        <v>0.72023809523809523</v>
      </c>
      <c r="N22" s="58">
        <f>SUM($E$2:E22)/(COUNT($E$2:E22)*24)</f>
        <v>0.85144841269841265</v>
      </c>
    </row>
    <row r="23" spans="1:14">
      <c r="A23" s="44"/>
      <c r="B23" s="17">
        <v>46134</v>
      </c>
      <c r="C23" s="54">
        <v>0</v>
      </c>
      <c r="D23" s="54">
        <v>24</v>
      </c>
      <c r="E23" s="53">
        <v>24</v>
      </c>
      <c r="F23" s="55">
        <f t="shared" si="0"/>
        <v>0</v>
      </c>
      <c r="G23" s="55">
        <f t="shared" si="1"/>
        <v>1</v>
      </c>
      <c r="H23" s="58">
        <f t="shared" si="2"/>
        <v>1</v>
      </c>
      <c r="I23" s="56">
        <v>0.1757</v>
      </c>
      <c r="J23" s="56">
        <v>0.73299999999999998</v>
      </c>
      <c r="K23" s="56">
        <v>0.85819999999999996</v>
      </c>
      <c r="L23" s="58">
        <f>SUM($C$2:C23)/(COUNT($C$2:C23)*24)</f>
        <v>0.17573863636363635</v>
      </c>
      <c r="M23" s="58">
        <f>SUM(D$2:$D23)/(COUNT($D$2:D23)*24)</f>
        <v>0.73295454545454541</v>
      </c>
      <c r="N23" s="58">
        <f>SUM($E$2:E23)/(COUNT($E$2:E23)*24)</f>
        <v>0.85820075757575753</v>
      </c>
    </row>
    <row r="24" spans="1:14">
      <c r="A24" s="44"/>
      <c r="B24" s="17">
        <v>46135</v>
      </c>
      <c r="C24" s="54">
        <v>2.73</v>
      </c>
      <c r="D24" s="54">
        <v>16.082999999999998</v>
      </c>
      <c r="E24" s="53">
        <v>24</v>
      </c>
      <c r="F24" s="55">
        <f t="shared" si="0"/>
        <v>0.11375</v>
      </c>
      <c r="G24" s="55">
        <f t="shared" si="1"/>
        <v>0.67012499999999997</v>
      </c>
      <c r="H24" s="58">
        <f t="shared" si="2"/>
        <v>1</v>
      </c>
      <c r="I24" s="56">
        <v>0.17299999999999999</v>
      </c>
      <c r="J24" s="56">
        <v>0.73019999999999996</v>
      </c>
      <c r="K24" s="56">
        <v>0.86439999999999995</v>
      </c>
      <c r="L24" s="58">
        <f>SUM($C$2:C24)/(COUNT($C$2:C24)*24)</f>
        <v>0.17304347826086955</v>
      </c>
      <c r="M24" s="58">
        <f>SUM(D$2:$D24)/(COUNT($D$2:D24)*24)</f>
        <v>0.73022282608695643</v>
      </c>
      <c r="N24" s="58">
        <f>SUM($E$2:E24)/(COUNT($E$2:E24)*24)</f>
        <v>0.86436594202898553</v>
      </c>
    </row>
    <row r="25" spans="1:14">
      <c r="A25" s="44"/>
      <c r="B25" s="17">
        <v>46136</v>
      </c>
      <c r="C25" s="54">
        <v>14.45</v>
      </c>
      <c r="D25" s="54">
        <v>9</v>
      </c>
      <c r="E25" s="53">
        <v>24</v>
      </c>
      <c r="F25" s="55">
        <f t="shared" si="0"/>
        <v>0.6020833333333333</v>
      </c>
      <c r="G25" s="55">
        <f t="shared" si="1"/>
        <v>0.375</v>
      </c>
      <c r="H25" s="58">
        <f t="shared" si="2"/>
        <v>1</v>
      </c>
      <c r="I25" s="56">
        <v>0.19089999999999999</v>
      </c>
      <c r="J25" s="56">
        <v>0.71540000000000004</v>
      </c>
      <c r="K25" s="56">
        <v>0.87</v>
      </c>
      <c r="L25" s="58">
        <f>SUM($C$2:C25)/(COUNT($C$2:C25)*24)</f>
        <v>0.1909201388888889</v>
      </c>
      <c r="M25" s="58">
        <f>SUM(D$2:$D25)/(COUNT($D$2:D25)*24)</f>
        <v>0.71542187499999998</v>
      </c>
      <c r="N25" s="58">
        <f>SUM($E$2:E25)/(COUNT($E$2:E25)*24)</f>
        <v>0.87001736111111105</v>
      </c>
    </row>
    <row r="26" spans="1:14">
      <c r="A26" s="44"/>
      <c r="B26" s="17">
        <v>46137</v>
      </c>
      <c r="C26" s="54">
        <v>24</v>
      </c>
      <c r="D26" s="54">
        <v>23.7</v>
      </c>
      <c r="E26" s="53">
        <v>24</v>
      </c>
      <c r="F26" s="55">
        <f t="shared" si="0"/>
        <v>1</v>
      </c>
      <c r="G26" s="55">
        <f t="shared" si="1"/>
        <v>0.98749999999999993</v>
      </c>
      <c r="H26" s="58">
        <f t="shared" si="2"/>
        <v>1</v>
      </c>
      <c r="I26" s="56">
        <v>0.2233</v>
      </c>
      <c r="J26" s="56">
        <v>0.72629999999999995</v>
      </c>
      <c r="K26" s="56">
        <v>0.87519999999999998</v>
      </c>
      <c r="L26" s="58">
        <f>SUM($C$2:C26)/(COUNT($C$2:C26)*24)</f>
        <v>0.22328333333333333</v>
      </c>
      <c r="M26" s="58">
        <f>SUM(D$2:$D26)/(COUNT($D$2:D26)*24)</f>
        <v>0.72630499999999998</v>
      </c>
      <c r="N26" s="58">
        <f>SUM($E$2:E26)/(COUNT($E$2:E26)*24)</f>
        <v>0.87521666666666664</v>
      </c>
    </row>
    <row r="27" spans="1:14">
      <c r="A27" s="44"/>
      <c r="B27" s="17">
        <v>46138</v>
      </c>
      <c r="C27" s="54">
        <v>24</v>
      </c>
      <c r="D27" s="54">
        <v>24</v>
      </c>
      <c r="E27" s="53">
        <v>24</v>
      </c>
      <c r="F27" s="55">
        <f t="shared" si="0"/>
        <v>1</v>
      </c>
      <c r="G27" s="55">
        <f t="shared" si="1"/>
        <v>1</v>
      </c>
      <c r="H27" s="58">
        <f t="shared" si="2"/>
        <v>1</v>
      </c>
      <c r="I27" s="56">
        <v>0.25319999999999998</v>
      </c>
      <c r="J27" s="56">
        <v>0.73680000000000001</v>
      </c>
      <c r="K27" s="56">
        <v>0.88</v>
      </c>
      <c r="L27" s="58">
        <f>SUM($C$2:C27)/(COUNT($C$2:C27)*24)</f>
        <v>0.25315705128205129</v>
      </c>
      <c r="M27" s="58">
        <f>SUM(D$2:$D27)/(COUNT($D$2:D27)*24)</f>
        <v>0.7368317307692307</v>
      </c>
      <c r="N27" s="58">
        <f>SUM($E$2:E27)/(COUNT($E$2:E27)*24)</f>
        <v>0.88001602564102566</v>
      </c>
    </row>
    <row r="28" spans="1:14">
      <c r="A28" s="44"/>
      <c r="B28" s="17">
        <v>46139</v>
      </c>
      <c r="C28" s="54">
        <v>24</v>
      </c>
      <c r="D28" s="54">
        <v>24</v>
      </c>
      <c r="E28" s="54">
        <v>16</v>
      </c>
      <c r="F28" s="55">
        <f t="shared" si="0"/>
        <v>1</v>
      </c>
      <c r="G28" s="55">
        <f t="shared" si="1"/>
        <v>1</v>
      </c>
      <c r="H28" s="58">
        <f t="shared" si="2"/>
        <v>0.66666666666666663</v>
      </c>
      <c r="I28" s="56">
        <v>0.28079999999999999</v>
      </c>
      <c r="J28" s="56">
        <v>0.74660000000000004</v>
      </c>
      <c r="K28" s="56">
        <v>0.87209999999999999</v>
      </c>
      <c r="L28" s="58">
        <f>SUM($C$2:C28)/(COUNT($C$2:C28)*24)</f>
        <v>0.2808179012345679</v>
      </c>
      <c r="M28" s="58">
        <f>SUM(D$2:$D28)/(COUNT($D$2:D28)*24)</f>
        <v>0.74657870370370361</v>
      </c>
      <c r="N28" s="58">
        <f>SUM($E$2:E28)/(COUNT($E$2:E28)*24)</f>
        <v>0.87211419753086417</v>
      </c>
    </row>
    <row r="29" spans="1:14">
      <c r="A29" s="44"/>
      <c r="B29" s="17">
        <v>46140</v>
      </c>
      <c r="C29" s="54">
        <v>24</v>
      </c>
      <c r="D29" s="54">
        <v>24</v>
      </c>
      <c r="E29" s="54">
        <v>16.600000000000001</v>
      </c>
      <c r="F29" s="55">
        <f t="shared" si="0"/>
        <v>1</v>
      </c>
      <c r="G29" s="55">
        <f t="shared" si="1"/>
        <v>1</v>
      </c>
      <c r="H29" s="58">
        <f t="shared" si="2"/>
        <v>0.69166666666666676</v>
      </c>
      <c r="I29" s="56">
        <v>0.30649999999999999</v>
      </c>
      <c r="J29" s="56">
        <v>0.75560000000000005</v>
      </c>
      <c r="K29" s="56">
        <v>0.86570000000000003</v>
      </c>
      <c r="L29" s="58">
        <f>SUM($C$2:C29)/(COUNT($C$2:C29)*24)</f>
        <v>0.30650297619047617</v>
      </c>
      <c r="M29" s="58">
        <f>SUM(D$2:$D29)/(COUNT($D$2:D29)*24)</f>
        <v>0.7556294642857142</v>
      </c>
      <c r="N29" s="58">
        <f>SUM($E$2:E29)/(COUNT($E$2:E29)*24)</f>
        <v>0.86566964285714287</v>
      </c>
    </row>
    <row r="30" spans="1:14">
      <c r="A30" s="44"/>
      <c r="B30" s="17">
        <v>46141</v>
      </c>
      <c r="C30" s="54">
        <v>24</v>
      </c>
      <c r="D30" s="54">
        <v>24</v>
      </c>
      <c r="E30" s="53">
        <v>24</v>
      </c>
      <c r="F30" s="55">
        <f t="shared" si="0"/>
        <v>1</v>
      </c>
      <c r="G30" s="55">
        <f t="shared" si="1"/>
        <v>1</v>
      </c>
      <c r="H30" s="58">
        <f t="shared" si="2"/>
        <v>1</v>
      </c>
      <c r="I30" s="56">
        <v>0.33040000000000003</v>
      </c>
      <c r="J30" s="56">
        <v>0.7641</v>
      </c>
      <c r="K30" s="56">
        <v>0.87029999999999996</v>
      </c>
      <c r="L30" s="58">
        <f>SUM($C$2:C30)/(COUNT($C$2:C30)*24)</f>
        <v>0.33041666666666669</v>
      </c>
      <c r="M30" s="58">
        <f>SUM(D$2:$D30)/(COUNT($D$2:D30)*24)</f>
        <v>0.76405603448275849</v>
      </c>
      <c r="N30" s="58">
        <f>SUM($E$2:E30)/(COUNT($E$2:E30)*24)</f>
        <v>0.87030172413793105</v>
      </c>
    </row>
    <row r="31" spans="1:14" ht="15.75" thickBot="1">
      <c r="A31" s="45"/>
      <c r="B31" s="17">
        <v>46142</v>
      </c>
      <c r="C31" s="54">
        <v>24</v>
      </c>
      <c r="D31" s="54">
        <v>24</v>
      </c>
      <c r="E31" s="53">
        <v>24</v>
      </c>
      <c r="F31" s="55">
        <f t="shared" si="0"/>
        <v>1</v>
      </c>
      <c r="G31" s="55">
        <f t="shared" si="1"/>
        <v>1</v>
      </c>
      <c r="H31" s="58">
        <f t="shared" si="2"/>
        <v>1</v>
      </c>
      <c r="I31" s="56">
        <v>0.35270000000000001</v>
      </c>
      <c r="J31" s="56">
        <v>0.77190000000000003</v>
      </c>
      <c r="K31" s="56">
        <v>0.87460000000000004</v>
      </c>
      <c r="L31" s="58">
        <f>SUM($C$2:C31)/(COUNT($C$2:C31)*24)</f>
        <v>0.35273611111111108</v>
      </c>
      <c r="M31" s="58">
        <f>SUM(D$2:$D31)/(COUNT($D$2:D31)*24)</f>
        <v>0.77192083333333317</v>
      </c>
      <c r="N31" s="58">
        <f>SUM($E$2:E31)/(COUNT($E$2:E31)*24)</f>
        <v>0.87462499999999999</v>
      </c>
    </row>
    <row r="32" spans="1:14">
      <c r="A32" s="46" t="s">
        <v>9</v>
      </c>
      <c r="B32" s="17">
        <v>46143</v>
      </c>
      <c r="C32" s="54">
        <v>24</v>
      </c>
      <c r="D32" s="54">
        <v>24</v>
      </c>
      <c r="E32" s="54">
        <v>24</v>
      </c>
      <c r="F32" s="55">
        <f t="shared" si="0"/>
        <v>1</v>
      </c>
      <c r="G32" s="55">
        <f t="shared" si="1"/>
        <v>1</v>
      </c>
      <c r="H32" s="58">
        <f t="shared" si="2"/>
        <v>1</v>
      </c>
      <c r="I32" s="56">
        <v>1</v>
      </c>
      <c r="J32" s="56">
        <v>1</v>
      </c>
      <c r="K32" s="56">
        <v>1</v>
      </c>
      <c r="L32" s="58">
        <f>SUM($C$2:C32)/(COUNT($C$2:C32)*24)</f>
        <v>0.3736155913978495</v>
      </c>
      <c r="M32" s="58">
        <f>SUM(D$2:$D32)/(COUNT($D$2:D32)*24)</f>
        <v>0.77927822580645145</v>
      </c>
      <c r="N32" s="58">
        <f>SUM($E$2:E32)/(COUNT($E$2:E32)*24)</f>
        <v>0.87866935483870967</v>
      </c>
    </row>
    <row r="33" spans="1:14">
      <c r="A33" s="44"/>
      <c r="B33" s="17">
        <v>46144</v>
      </c>
      <c r="C33" s="54">
        <v>15</v>
      </c>
      <c r="D33" s="54">
        <v>24</v>
      </c>
      <c r="E33" s="54">
        <v>24</v>
      </c>
      <c r="F33" s="55">
        <f t="shared" si="0"/>
        <v>0.625</v>
      </c>
      <c r="G33" s="55">
        <f t="shared" si="1"/>
        <v>1</v>
      </c>
      <c r="H33" s="58">
        <f t="shared" si="2"/>
        <v>1</v>
      </c>
      <c r="I33" s="56">
        <v>0.8125</v>
      </c>
      <c r="J33" s="56">
        <v>1</v>
      </c>
      <c r="K33" s="56">
        <v>1</v>
      </c>
      <c r="L33" s="58">
        <f>SUM($C$2:C33)/(COUNT($C$2:C33)*24)</f>
        <v>0.38147135416666672</v>
      </c>
      <c r="M33" s="58">
        <f>SUM(D$2:$D33)/(COUNT($D$2:D33)*24)</f>
        <v>0.78617578124999987</v>
      </c>
      <c r="N33" s="58">
        <f>SUM($E$2:E33)/(COUNT($E$2:E33)*24)</f>
        <v>0.88246093749999999</v>
      </c>
    </row>
    <row r="34" spans="1:14">
      <c r="A34" s="44"/>
      <c r="B34" s="17">
        <v>46145</v>
      </c>
      <c r="C34" s="54">
        <v>24</v>
      </c>
      <c r="D34" s="54">
        <v>24</v>
      </c>
      <c r="E34" s="54">
        <v>24</v>
      </c>
      <c r="F34" s="55">
        <f t="shared" si="0"/>
        <v>1</v>
      </c>
      <c r="G34" s="55">
        <f t="shared" si="1"/>
        <v>1</v>
      </c>
      <c r="H34" s="58">
        <f t="shared" si="2"/>
        <v>1</v>
      </c>
      <c r="I34" s="56">
        <v>0.875</v>
      </c>
      <c r="J34" s="56">
        <v>1</v>
      </c>
      <c r="K34" s="56">
        <v>1</v>
      </c>
      <c r="L34" s="58">
        <f>SUM($C$2:C34)/(COUNT($C$2:C34)*24)</f>
        <v>0.4002146464646465</v>
      </c>
      <c r="M34" s="58">
        <f>SUM(D$2:$D34)/(COUNT($D$2:D34)*24)</f>
        <v>0.79265530303030296</v>
      </c>
      <c r="N34" s="58">
        <f>SUM($E$2:E34)/(COUNT($E$2:E34)*24)</f>
        <v>0.88602272727272735</v>
      </c>
    </row>
    <row r="35" spans="1:14">
      <c r="A35" s="44"/>
      <c r="B35" s="17">
        <v>46146</v>
      </c>
      <c r="C35" s="54">
        <v>24</v>
      </c>
      <c r="D35" s="54">
        <v>24</v>
      </c>
      <c r="E35" s="54">
        <v>24</v>
      </c>
      <c r="F35" s="55">
        <f t="shared" si="0"/>
        <v>1</v>
      </c>
      <c r="G35" s="55">
        <f t="shared" si="1"/>
        <v>1</v>
      </c>
      <c r="H35" s="58">
        <f t="shared" si="2"/>
        <v>1</v>
      </c>
      <c r="I35" s="56">
        <v>0.90629999999999999</v>
      </c>
      <c r="J35" s="56">
        <v>1</v>
      </c>
      <c r="K35" s="56">
        <v>1</v>
      </c>
      <c r="L35" s="58">
        <f>SUM($C$2:C35)/(COUNT($C$2:C35)*24)</f>
        <v>0.41785539215686279</v>
      </c>
      <c r="M35" s="58">
        <f>SUM(D$2:$D35)/(COUNT($D$2:D35)*24)</f>
        <v>0.79875367647058815</v>
      </c>
      <c r="N35" s="58">
        <f>SUM($E$2:E35)/(COUNT($E$2:E35)*24)</f>
        <v>0.88937500000000003</v>
      </c>
    </row>
    <row r="36" spans="1:14">
      <c r="A36" s="44"/>
      <c r="B36" s="17">
        <v>46147</v>
      </c>
      <c r="C36" s="54">
        <v>24</v>
      </c>
      <c r="D36" s="54">
        <v>24</v>
      </c>
      <c r="E36" s="54">
        <v>24</v>
      </c>
      <c r="F36" s="55">
        <f t="shared" si="0"/>
        <v>1</v>
      </c>
      <c r="G36" s="55">
        <f t="shared" si="1"/>
        <v>1</v>
      </c>
      <c r="H36" s="58">
        <f t="shared" si="2"/>
        <v>1</v>
      </c>
      <c r="I36" s="56">
        <v>0.92500000000000004</v>
      </c>
      <c r="J36" s="56">
        <v>1</v>
      </c>
      <c r="K36" s="56">
        <v>1</v>
      </c>
      <c r="L36" s="58">
        <f>SUM($C$2:C36)/(COUNT($C$2:C36)*24)</f>
        <v>0.43448809523809528</v>
      </c>
      <c r="M36" s="58">
        <f>SUM(D$2:$D36)/(COUNT($D$2:D36)*24)</f>
        <v>0.80450357142857132</v>
      </c>
      <c r="N36" s="58">
        <f>SUM($E$2:E36)/(COUNT($E$2:E36)*24)</f>
        <v>0.89253571428571432</v>
      </c>
    </row>
    <row r="37" spans="1:14">
      <c r="A37" s="44"/>
      <c r="B37" s="17">
        <v>46148</v>
      </c>
      <c r="C37" s="54">
        <v>24</v>
      </c>
      <c r="D37" s="54">
        <v>24</v>
      </c>
      <c r="E37" s="54">
        <v>19.600000000000001</v>
      </c>
      <c r="F37" s="55">
        <f t="shared" si="0"/>
        <v>1</v>
      </c>
      <c r="G37" s="55">
        <f t="shared" si="1"/>
        <v>1</v>
      </c>
      <c r="H37" s="58">
        <f t="shared" si="2"/>
        <v>0.81666666666666676</v>
      </c>
      <c r="I37" s="56">
        <v>0.9375</v>
      </c>
      <c r="J37" s="56">
        <v>1</v>
      </c>
      <c r="K37" s="56">
        <v>0.96940000000000004</v>
      </c>
      <c r="L37" s="58">
        <f>SUM($C$2:C37)/(COUNT($C$2:C37)*24)</f>
        <v>0.45019675925925928</v>
      </c>
      <c r="M37" s="58">
        <f>SUM(D$2:$D37)/(COUNT($D$2:D37)*24)</f>
        <v>0.80993402777777768</v>
      </c>
      <c r="N37" s="58">
        <f>SUM($E$2:E37)/(COUNT($E$2:E37)*24)</f>
        <v>0.89042824074074078</v>
      </c>
    </row>
    <row r="38" spans="1:14">
      <c r="A38" s="44"/>
      <c r="B38" s="17">
        <v>46149</v>
      </c>
      <c r="C38" s="54">
        <v>24</v>
      </c>
      <c r="D38" s="54">
        <v>24</v>
      </c>
      <c r="E38" s="54">
        <v>0</v>
      </c>
      <c r="F38" s="55">
        <f t="shared" si="0"/>
        <v>1</v>
      </c>
      <c r="G38" s="55">
        <f t="shared" si="1"/>
        <v>1</v>
      </c>
      <c r="H38" s="58">
        <f t="shared" si="2"/>
        <v>0</v>
      </c>
      <c r="I38" s="56">
        <v>0.94640000000000002</v>
      </c>
      <c r="J38" s="56">
        <v>1</v>
      </c>
      <c r="K38" s="56">
        <v>0.83099999999999996</v>
      </c>
      <c r="L38" s="58">
        <f>SUM($C$2:C38)/(COUNT($C$2:C38)*24)</f>
        <v>0.46505630630630634</v>
      </c>
      <c r="M38" s="58">
        <f>SUM(D$2:$D38)/(COUNT($D$2:D38)*24)</f>
        <v>0.81507094594594587</v>
      </c>
      <c r="N38" s="58">
        <f>SUM($E$2:E38)/(COUNT($E$2:E38)*24)</f>
        <v>0.8663626126126126</v>
      </c>
    </row>
    <row r="39" spans="1:14">
      <c r="A39" s="44"/>
      <c r="B39" s="17">
        <v>46150</v>
      </c>
      <c r="C39" s="54">
        <v>24</v>
      </c>
      <c r="D39" s="54">
        <v>24</v>
      </c>
      <c r="E39" s="54">
        <v>0</v>
      </c>
      <c r="F39" s="55">
        <f t="shared" si="0"/>
        <v>1</v>
      </c>
      <c r="G39" s="55">
        <f t="shared" si="1"/>
        <v>1</v>
      </c>
      <c r="H39" s="58">
        <f t="shared" si="2"/>
        <v>0</v>
      </c>
      <c r="I39" s="56">
        <v>0.95309999999999995</v>
      </c>
      <c r="J39" s="56">
        <v>1</v>
      </c>
      <c r="K39" s="56">
        <v>0.72709999999999997</v>
      </c>
      <c r="L39" s="58">
        <f>SUM($C$2:C39)/(COUNT($C$2:C39)*24)</f>
        <v>0.47913377192982459</v>
      </c>
      <c r="M39" s="58">
        <f>SUM(D$2:$D39)/(COUNT($D$2:D39)*24)</f>
        <v>0.81993749999999987</v>
      </c>
      <c r="N39" s="58">
        <f>SUM($E$2:E39)/(COUNT($E$2:E39)*24)</f>
        <v>0.84356359649122814</v>
      </c>
    </row>
    <row r="40" spans="1:14">
      <c r="A40" s="44"/>
      <c r="B40" s="17">
        <v>46151</v>
      </c>
      <c r="C40" s="54">
        <v>24</v>
      </c>
      <c r="D40" s="54">
        <v>6.78</v>
      </c>
      <c r="E40" s="54">
        <v>0</v>
      </c>
      <c r="F40" s="55">
        <f t="shared" si="0"/>
        <v>1</v>
      </c>
      <c r="G40" s="55">
        <f t="shared" si="1"/>
        <v>0.28250000000000003</v>
      </c>
      <c r="H40" s="58">
        <f t="shared" si="2"/>
        <v>0</v>
      </c>
      <c r="I40" s="56">
        <v>0.95830000000000004</v>
      </c>
      <c r="J40" s="56">
        <v>0.92030000000000001</v>
      </c>
      <c r="K40" s="56">
        <v>0.64629999999999999</v>
      </c>
      <c r="L40" s="58">
        <f>SUM($C$2:C40)/(COUNT($C$2:C40)*24)</f>
        <v>0.49248931623931624</v>
      </c>
      <c r="M40" s="58">
        <f>SUM(D$2:$D40)/(COUNT($D$2:D40)*24)</f>
        <v>0.80615705128205117</v>
      </c>
      <c r="N40" s="58">
        <f>SUM($E$2:E40)/(COUNT($E$2:E40)*24)</f>
        <v>0.82193376068376067</v>
      </c>
    </row>
    <row r="41" spans="1:14">
      <c r="A41" s="44"/>
      <c r="B41" s="17">
        <v>46152</v>
      </c>
      <c r="C41" s="54">
        <v>24</v>
      </c>
      <c r="D41" s="54">
        <v>24</v>
      </c>
      <c r="E41" s="54">
        <v>0</v>
      </c>
      <c r="F41" s="55">
        <f t="shared" si="0"/>
        <v>1</v>
      </c>
      <c r="G41" s="55">
        <f t="shared" si="1"/>
        <v>1</v>
      </c>
      <c r="H41" s="58">
        <f t="shared" si="2"/>
        <v>0</v>
      </c>
      <c r="I41" s="56">
        <v>0.96250000000000002</v>
      </c>
      <c r="J41" s="56">
        <v>0.92830000000000001</v>
      </c>
      <c r="K41" s="56">
        <v>0.58169999999999999</v>
      </c>
      <c r="L41" s="58">
        <f>SUM($C$2:C41)/(COUNT($C$2:C41)*24)</f>
        <v>0.50517708333333333</v>
      </c>
      <c r="M41" s="58">
        <f>SUM(D$2:$D41)/(COUNT($D$2:D41)*24)</f>
        <v>0.81100312499999982</v>
      </c>
      <c r="N41" s="58">
        <f>SUM($E$2:E41)/(COUNT($E$2:E41)*24)</f>
        <v>0.80138541666666674</v>
      </c>
    </row>
    <row r="42" spans="1:14">
      <c r="A42" s="44"/>
      <c r="B42" s="17">
        <v>46153</v>
      </c>
      <c r="C42" s="54">
        <v>24</v>
      </c>
      <c r="D42" s="54">
        <v>24</v>
      </c>
      <c r="E42" s="54">
        <v>0</v>
      </c>
      <c r="F42" s="55">
        <f t="shared" si="0"/>
        <v>1</v>
      </c>
      <c r="G42" s="55">
        <f t="shared" si="1"/>
        <v>1</v>
      </c>
      <c r="H42" s="58">
        <f t="shared" si="2"/>
        <v>0</v>
      </c>
      <c r="I42" s="56">
        <v>0.96589999999999998</v>
      </c>
      <c r="J42" s="56">
        <v>0.93479999999999996</v>
      </c>
      <c r="K42" s="56">
        <v>0.52880000000000005</v>
      </c>
      <c r="L42" s="58">
        <f>SUM($C$2:C42)/(COUNT($C$2:C42)*24)</f>
        <v>0.51724593495934967</v>
      </c>
      <c r="M42" s="58">
        <f>SUM(D$2:$D42)/(COUNT($D$2:D42)*24)</f>
        <v>0.81561280487804866</v>
      </c>
      <c r="N42" s="58">
        <f>SUM($E$2:E42)/(COUNT($E$2:E42)*24)</f>
        <v>0.78183943089430896</v>
      </c>
    </row>
    <row r="43" spans="1:14">
      <c r="A43" s="44"/>
      <c r="B43" s="17">
        <v>46154</v>
      </c>
      <c r="C43" s="54">
        <v>24</v>
      </c>
      <c r="D43" s="54">
        <v>24</v>
      </c>
      <c r="E43" s="54">
        <v>0</v>
      </c>
      <c r="F43" s="55">
        <f t="shared" si="0"/>
        <v>1</v>
      </c>
      <c r="G43" s="55">
        <f t="shared" si="1"/>
        <v>1</v>
      </c>
      <c r="H43" s="58">
        <f t="shared" si="2"/>
        <v>0</v>
      </c>
      <c r="I43" s="56">
        <v>0.96879999999999999</v>
      </c>
      <c r="J43" s="56">
        <v>0.94020000000000004</v>
      </c>
      <c r="K43" s="56">
        <v>0.48470000000000002</v>
      </c>
      <c r="L43" s="58">
        <f>SUM($C$2:C43)/(COUNT($C$2:C43)*24)</f>
        <v>0.52874007936507939</v>
      </c>
      <c r="M43" s="58">
        <f>SUM(D$2:$D43)/(COUNT($D$2:D43)*24)</f>
        <v>0.82000297619047602</v>
      </c>
      <c r="N43" s="58">
        <f>SUM($E$2:E43)/(COUNT($E$2:E43)*24)</f>
        <v>0.7632242063492064</v>
      </c>
    </row>
    <row r="44" spans="1:14">
      <c r="A44" s="44"/>
      <c r="B44" s="17">
        <v>46155</v>
      </c>
      <c r="C44" s="54">
        <v>24</v>
      </c>
      <c r="D44" s="54">
        <v>24</v>
      </c>
      <c r="E44" s="54">
        <v>0</v>
      </c>
      <c r="F44" s="55">
        <f t="shared" si="0"/>
        <v>1</v>
      </c>
      <c r="G44" s="55">
        <f t="shared" si="1"/>
        <v>1</v>
      </c>
      <c r="H44" s="58">
        <f t="shared" si="2"/>
        <v>0</v>
      </c>
      <c r="I44" s="56">
        <v>0.97119999999999995</v>
      </c>
      <c r="J44" s="56">
        <v>0.94479999999999997</v>
      </c>
      <c r="K44" s="56">
        <v>0.44740000000000002</v>
      </c>
      <c r="L44" s="58">
        <f>SUM($C$2:C44)/(COUNT($C$2:C44)*24)</f>
        <v>0.53969961240310083</v>
      </c>
      <c r="M44" s="58">
        <f>SUM(D$2:$D44)/(COUNT($D$2:D44)*24)</f>
        <v>0.82418895348837196</v>
      </c>
      <c r="N44" s="58">
        <f>SUM($E$2:E44)/(COUNT($E$2:E44)*24)</f>
        <v>0.74547480620155038</v>
      </c>
    </row>
    <row r="45" spans="1:14">
      <c r="A45" s="44"/>
      <c r="B45" s="17">
        <v>46156</v>
      </c>
      <c r="C45" s="54">
        <v>24</v>
      </c>
      <c r="D45" s="54">
        <v>24</v>
      </c>
      <c r="E45" s="54">
        <v>0</v>
      </c>
      <c r="F45" s="55">
        <f t="shared" si="0"/>
        <v>1</v>
      </c>
      <c r="G45" s="55">
        <f t="shared" si="1"/>
        <v>1</v>
      </c>
      <c r="H45" s="58">
        <f t="shared" si="2"/>
        <v>0</v>
      </c>
      <c r="I45" s="56">
        <v>0.97319999999999995</v>
      </c>
      <c r="J45" s="56">
        <v>0.94879999999999998</v>
      </c>
      <c r="K45" s="56">
        <v>0.41549999999999998</v>
      </c>
      <c r="L45" s="58">
        <f>SUM($C$2:C45)/(COUNT($C$2:C45)*24)</f>
        <v>0.55016098484848486</v>
      </c>
      <c r="M45" s="58">
        <f>SUM(D$2:$D45)/(COUNT($D$2:D45)*24)</f>
        <v>0.82818465909090899</v>
      </c>
      <c r="N45" s="58">
        <f>SUM($E$2:E45)/(COUNT($E$2:E45)*24)</f>
        <v>0.72853219696969695</v>
      </c>
    </row>
    <row r="46" spans="1:14">
      <c r="A46" s="44"/>
      <c r="B46" s="17">
        <v>46157</v>
      </c>
      <c r="C46" s="54">
        <v>5.4</v>
      </c>
      <c r="D46" s="54">
        <v>5.4</v>
      </c>
      <c r="E46" s="54">
        <v>0</v>
      </c>
      <c r="F46" s="55">
        <f t="shared" si="0"/>
        <v>0.22500000000000001</v>
      </c>
      <c r="G46" s="55">
        <f t="shared" si="1"/>
        <v>0.22500000000000001</v>
      </c>
      <c r="H46" s="58">
        <f t="shared" si="2"/>
        <v>0</v>
      </c>
      <c r="I46" s="56">
        <v>0.92330000000000001</v>
      </c>
      <c r="J46" s="56">
        <v>0.90049999999999997</v>
      </c>
      <c r="K46" s="56">
        <v>0.38779999999999998</v>
      </c>
      <c r="L46" s="58">
        <f>SUM($C$2:C46)/(COUNT($C$2:C46)*24)</f>
        <v>0.54293518518518524</v>
      </c>
      <c r="M46" s="58">
        <f>SUM(D$2:$D46)/(COUNT($D$2:D46)*24)</f>
        <v>0.8147805555555554</v>
      </c>
      <c r="N46" s="58">
        <f>SUM($E$2:E46)/(COUNT($E$2:E46)*24)</f>
        <v>0.71234259259259258</v>
      </c>
    </row>
    <row r="47" spans="1:14">
      <c r="A47" s="44"/>
      <c r="B47" s="17">
        <v>46158</v>
      </c>
      <c r="C47" s="54">
        <v>6.4</v>
      </c>
      <c r="D47" s="54">
        <v>16</v>
      </c>
      <c r="E47" s="54">
        <v>0</v>
      </c>
      <c r="F47" s="55">
        <f t="shared" si="0"/>
        <v>0.26666666666666666</v>
      </c>
      <c r="G47" s="55">
        <f t="shared" si="1"/>
        <v>0.66666666666666663</v>
      </c>
      <c r="H47" s="58">
        <f t="shared" si="2"/>
        <v>0</v>
      </c>
      <c r="I47" s="56">
        <v>0.88229999999999997</v>
      </c>
      <c r="J47" s="56">
        <v>0.88590000000000002</v>
      </c>
      <c r="K47" s="56">
        <v>0.36349999999999999</v>
      </c>
      <c r="L47" s="58">
        <f>SUM($C$2:C47)/(COUNT($C$2:C47)*24)</f>
        <v>0.53692934782608692</v>
      </c>
      <c r="M47" s="58">
        <f>SUM(D$2:$D47)/(COUNT($D$2:D47)*24)</f>
        <v>0.81156068840579698</v>
      </c>
      <c r="N47" s="58">
        <f>SUM($E$2:E47)/(COUNT($E$2:E47)*24)</f>
        <v>0.69685688405797108</v>
      </c>
    </row>
    <row r="48" spans="1:14">
      <c r="A48" s="44"/>
      <c r="B48" s="17">
        <v>46159</v>
      </c>
      <c r="C48" s="54">
        <v>24</v>
      </c>
      <c r="D48" s="54">
        <v>24</v>
      </c>
      <c r="E48" s="54">
        <v>0</v>
      </c>
      <c r="F48" s="55">
        <f t="shared" si="0"/>
        <v>1</v>
      </c>
      <c r="G48" s="55">
        <f t="shared" si="1"/>
        <v>1</v>
      </c>
      <c r="H48" s="58">
        <f t="shared" si="2"/>
        <v>0</v>
      </c>
      <c r="I48" s="56">
        <v>0.88919999999999999</v>
      </c>
      <c r="J48" s="56">
        <v>0.89259999999999995</v>
      </c>
      <c r="K48" s="56">
        <v>0.3422</v>
      </c>
      <c r="L48" s="58">
        <f>SUM($C$2:C48)/(COUNT($C$2:C48)*24)</f>
        <v>0.54678191489361705</v>
      </c>
      <c r="M48" s="58">
        <f>SUM(D$2:$D48)/(COUNT($D$2:D48)*24)</f>
        <v>0.81557003546099283</v>
      </c>
      <c r="N48" s="58">
        <f>SUM($E$2:E48)/(COUNT($E$2:E48)*24)</f>
        <v>0.6820301418439717</v>
      </c>
    </row>
    <row r="49" spans="1:14">
      <c r="A49" s="44"/>
      <c r="B49" s="17">
        <v>46160</v>
      </c>
      <c r="C49" s="54">
        <v>24</v>
      </c>
      <c r="D49" s="54">
        <v>24</v>
      </c>
      <c r="E49" s="54">
        <v>0</v>
      </c>
      <c r="F49" s="55">
        <f t="shared" si="0"/>
        <v>1</v>
      </c>
      <c r="G49" s="55">
        <f t="shared" si="1"/>
        <v>1</v>
      </c>
      <c r="H49" s="58">
        <f t="shared" si="2"/>
        <v>0</v>
      </c>
      <c r="I49" s="56">
        <v>0.89539999999999997</v>
      </c>
      <c r="J49" s="56">
        <v>0.89859999999999995</v>
      </c>
      <c r="K49" s="56">
        <v>0.3231</v>
      </c>
      <c r="L49" s="58">
        <f>SUM($C$2:C49)/(COUNT($C$2:C49)*24)</f>
        <v>0.55622395833333327</v>
      </c>
      <c r="M49" s="58">
        <f>SUM(D$2:$D49)/(COUNT($D$2:D49)*24)</f>
        <v>0.81941232638888872</v>
      </c>
      <c r="N49" s="58">
        <f>SUM($E$2:E49)/(COUNT($E$2:E49)*24)</f>
        <v>0.66782118055555562</v>
      </c>
    </row>
    <row r="50" spans="1:14">
      <c r="A50" s="44"/>
      <c r="B50" s="17">
        <v>46161</v>
      </c>
      <c r="C50" s="54">
        <v>24</v>
      </c>
      <c r="D50" s="54">
        <v>24</v>
      </c>
      <c r="E50" s="54">
        <v>0</v>
      </c>
      <c r="F50" s="55">
        <f t="shared" si="0"/>
        <v>1</v>
      </c>
      <c r="G50" s="55">
        <f t="shared" si="1"/>
        <v>1</v>
      </c>
      <c r="H50" s="58">
        <f t="shared" si="2"/>
        <v>0</v>
      </c>
      <c r="I50" s="56">
        <v>0.90090000000000003</v>
      </c>
      <c r="J50" s="56">
        <v>0.90390000000000004</v>
      </c>
      <c r="K50" s="56">
        <v>0.30609999999999998</v>
      </c>
      <c r="L50" s="58">
        <f>SUM($C$2:C50)/(COUNT($C$2:C50)*24)</f>
        <v>0.5652806122448979</v>
      </c>
      <c r="M50" s="58">
        <f>SUM(D$2:$D50)/(COUNT($D$2:D50)*24)</f>
        <v>0.82309778911564613</v>
      </c>
      <c r="N50" s="58">
        <f>SUM($E$2:E50)/(COUNT($E$2:E50)*24)</f>
        <v>0.65419217687074838</v>
      </c>
    </row>
    <row r="51" spans="1:14">
      <c r="A51" s="44"/>
      <c r="B51" s="17">
        <v>46162</v>
      </c>
      <c r="C51" s="54">
        <v>24</v>
      </c>
      <c r="D51" s="54">
        <v>24</v>
      </c>
      <c r="E51" s="54">
        <v>0</v>
      </c>
      <c r="F51" s="55">
        <f t="shared" si="0"/>
        <v>1</v>
      </c>
      <c r="G51" s="55">
        <f t="shared" si="1"/>
        <v>1</v>
      </c>
      <c r="H51" s="58">
        <f t="shared" si="2"/>
        <v>0</v>
      </c>
      <c r="I51" s="56">
        <v>0.90580000000000005</v>
      </c>
      <c r="J51" s="56">
        <v>0.90869999999999995</v>
      </c>
      <c r="K51" s="56">
        <v>0.2908</v>
      </c>
      <c r="L51" s="58">
        <f>SUM($C$2:C51)/(COUNT($C$2:C51)*24)</f>
        <v>0.57397500000000001</v>
      </c>
      <c r="M51" s="58">
        <f>SUM(D$2:$D51)/(COUNT($D$2:D51)*24)</f>
        <v>0.82663583333333324</v>
      </c>
      <c r="N51" s="58">
        <f>SUM($E$2:E51)/(COUNT($E$2:E51)*24)</f>
        <v>0.64110833333333339</v>
      </c>
    </row>
    <row r="52" spans="1:14">
      <c r="A52" s="44"/>
      <c r="B52" s="17">
        <v>46163</v>
      </c>
      <c r="C52" s="54">
        <v>24</v>
      </c>
      <c r="D52" s="54">
        <v>24</v>
      </c>
      <c r="E52" s="54">
        <v>0</v>
      </c>
      <c r="F52" s="55">
        <f t="shared" si="0"/>
        <v>1</v>
      </c>
      <c r="G52" s="55">
        <f t="shared" si="1"/>
        <v>1</v>
      </c>
      <c r="H52" s="58">
        <f t="shared" si="2"/>
        <v>0</v>
      </c>
      <c r="I52" s="56">
        <v>0.9103</v>
      </c>
      <c r="J52" s="56">
        <v>0.91310000000000002</v>
      </c>
      <c r="K52" s="56">
        <v>0.27700000000000002</v>
      </c>
      <c r="L52" s="58">
        <f>SUM($C$2:C52)/(COUNT($C$2:C52)*24)</f>
        <v>0.58232843137254897</v>
      </c>
      <c r="M52" s="58">
        <f>SUM(D$2:$D52)/(COUNT($D$2:D52)*24)</f>
        <v>0.83003513071895407</v>
      </c>
      <c r="N52" s="58">
        <f>SUM($E$2:E52)/(COUNT($E$2:E52)*24)</f>
        <v>0.62853758169934648</v>
      </c>
    </row>
    <row r="53" spans="1:14">
      <c r="A53" s="44"/>
      <c r="B53" s="17">
        <v>46164</v>
      </c>
      <c r="C53" s="54">
        <v>24</v>
      </c>
      <c r="D53" s="54">
        <v>24</v>
      </c>
      <c r="E53" s="54">
        <v>0</v>
      </c>
      <c r="F53" s="55">
        <f t="shared" si="0"/>
        <v>1</v>
      </c>
      <c r="G53" s="55">
        <f t="shared" si="1"/>
        <v>1</v>
      </c>
      <c r="H53" s="58">
        <f t="shared" si="2"/>
        <v>0</v>
      </c>
      <c r="I53" s="56">
        <v>0.91439999999999999</v>
      </c>
      <c r="J53" s="56">
        <v>0.91700000000000004</v>
      </c>
      <c r="K53" s="56">
        <v>0.26440000000000002</v>
      </c>
      <c r="L53" s="58">
        <f>SUM($C$2:C53)/(COUNT($C$2:C53)*24)</f>
        <v>0.59036057692307686</v>
      </c>
      <c r="M53" s="58">
        <f>SUM(D$2:$D53)/(COUNT($D$2:D53)*24)</f>
        <v>0.83330368589743564</v>
      </c>
      <c r="N53" s="58">
        <f>SUM($E$2:E53)/(COUNT($E$2:E53)*24)</f>
        <v>0.61645032051282056</v>
      </c>
    </row>
    <row r="54" spans="1:14">
      <c r="A54" s="44"/>
      <c r="B54" s="17">
        <v>46165</v>
      </c>
      <c r="C54" s="54">
        <v>24</v>
      </c>
      <c r="D54" s="54">
        <v>24</v>
      </c>
      <c r="E54" s="54">
        <v>0</v>
      </c>
      <c r="F54" s="55">
        <f t="shared" si="0"/>
        <v>1</v>
      </c>
      <c r="G54" s="55">
        <f t="shared" si="1"/>
        <v>1</v>
      </c>
      <c r="H54" s="58">
        <f t="shared" si="2"/>
        <v>0</v>
      </c>
      <c r="I54" s="56">
        <v>0.91810000000000003</v>
      </c>
      <c r="J54" s="56">
        <v>0.92059999999999997</v>
      </c>
      <c r="K54" s="56">
        <v>0.25290000000000001</v>
      </c>
      <c r="L54" s="58">
        <f>SUM($C$2:C54)/(COUNT($C$2:C54)*24)</f>
        <v>0.59808962264150944</v>
      </c>
      <c r="M54" s="58">
        <f>SUM(D$2:$D54)/(COUNT($D$2:D54)*24)</f>
        <v>0.83644889937106892</v>
      </c>
      <c r="N54" s="58">
        <f>SUM($E$2:E54)/(COUNT($E$2:E54)*24)</f>
        <v>0.60481918238993715</v>
      </c>
    </row>
    <row r="55" spans="1:14">
      <c r="A55" s="44"/>
      <c r="B55" s="17">
        <v>46166</v>
      </c>
      <c r="C55" s="54">
        <v>24</v>
      </c>
      <c r="D55" s="54">
        <v>24</v>
      </c>
      <c r="E55" s="54">
        <v>0</v>
      </c>
      <c r="F55" s="55">
        <f t="shared" si="0"/>
        <v>1</v>
      </c>
      <c r="G55" s="55">
        <f t="shared" si="1"/>
        <v>1</v>
      </c>
      <c r="H55" s="58">
        <f t="shared" si="2"/>
        <v>0</v>
      </c>
      <c r="I55" s="56">
        <v>0.92149999999999999</v>
      </c>
      <c r="J55" s="56">
        <v>0.92390000000000005</v>
      </c>
      <c r="K55" s="56">
        <v>0.2424</v>
      </c>
      <c r="L55" s="58">
        <f>SUM($C$2:C55)/(COUNT($C$2:C55)*24)</f>
        <v>0.60553240740740744</v>
      </c>
      <c r="M55" s="58">
        <f>SUM(D$2:$D55)/(COUNT($D$2:D55)*24)</f>
        <v>0.83947762345678989</v>
      </c>
      <c r="N55" s="58">
        <f>SUM($E$2:E55)/(COUNT($E$2:E55)*24)</f>
        <v>0.59361882716049386</v>
      </c>
    </row>
    <row r="56" spans="1:14">
      <c r="A56" s="44"/>
      <c r="B56" s="17">
        <v>46167</v>
      </c>
      <c r="C56" s="54">
        <v>20.6</v>
      </c>
      <c r="D56" s="54">
        <v>21.45</v>
      </c>
      <c r="E56" s="54">
        <v>0</v>
      </c>
      <c r="F56" s="55">
        <f t="shared" si="0"/>
        <v>0.85833333333333339</v>
      </c>
      <c r="G56" s="55">
        <f t="shared" si="1"/>
        <v>0.89374999999999993</v>
      </c>
      <c r="H56" s="58">
        <f t="shared" si="2"/>
        <v>0</v>
      </c>
      <c r="I56" s="56">
        <v>0.91900000000000004</v>
      </c>
      <c r="J56" s="56">
        <v>0.92269999999999996</v>
      </c>
      <c r="K56" s="56">
        <v>0.23269999999999999</v>
      </c>
      <c r="L56" s="58">
        <f>SUM($C$2:C56)/(COUNT($C$2:C56)*24)</f>
        <v>0.61012878787878788</v>
      </c>
      <c r="M56" s="58">
        <f>SUM(D$2:$D56)/(COUNT($D$2:D56)*24)</f>
        <v>0.84046439393939376</v>
      </c>
      <c r="N56" s="58">
        <f>SUM($E$2:E56)/(COUNT($E$2:E56)*24)</f>
        <v>0.58282575757575761</v>
      </c>
    </row>
    <row r="57" spans="1:14">
      <c r="A57" s="44"/>
      <c r="B57" s="17">
        <v>46168</v>
      </c>
      <c r="C57" s="54">
        <v>24</v>
      </c>
      <c r="D57" s="54">
        <v>24</v>
      </c>
      <c r="E57" s="54">
        <v>0</v>
      </c>
      <c r="F57" s="55">
        <f t="shared" si="0"/>
        <v>1</v>
      </c>
      <c r="G57" s="55">
        <f t="shared" si="1"/>
        <v>1</v>
      </c>
      <c r="H57" s="58">
        <f t="shared" si="2"/>
        <v>0</v>
      </c>
      <c r="I57" s="56">
        <v>0.92210000000000003</v>
      </c>
      <c r="J57" s="56">
        <v>0.92569999999999997</v>
      </c>
      <c r="K57" s="56">
        <v>0.22370000000000001</v>
      </c>
      <c r="L57" s="58">
        <f>SUM($C$2:C57)/(COUNT($C$2:C57)*24)</f>
        <v>0.61709077380952382</v>
      </c>
      <c r="M57" s="58">
        <f>SUM(D$2:$D57)/(COUNT($D$2:D57)*24)</f>
        <v>0.84331324404761887</v>
      </c>
      <c r="N57" s="58">
        <f>SUM($E$2:E57)/(COUNT($E$2:E57)*24)</f>
        <v>0.57241815476190483</v>
      </c>
    </row>
    <row r="58" spans="1:14">
      <c r="A58" s="44"/>
      <c r="B58" s="17">
        <v>46169</v>
      </c>
      <c r="C58" s="54">
        <v>18.21</v>
      </c>
      <c r="D58" s="54">
        <v>24</v>
      </c>
      <c r="E58" s="54">
        <v>0</v>
      </c>
      <c r="F58" s="55">
        <f t="shared" si="0"/>
        <v>0.75875000000000004</v>
      </c>
      <c r="G58" s="55">
        <f t="shared" si="1"/>
        <v>1</v>
      </c>
      <c r="H58" s="58">
        <f t="shared" si="2"/>
        <v>0</v>
      </c>
      <c r="I58" s="56">
        <v>0.91610000000000003</v>
      </c>
      <c r="J58" s="56">
        <v>0.9284</v>
      </c>
      <c r="K58" s="56">
        <v>0.21540000000000001</v>
      </c>
      <c r="L58" s="58">
        <f>SUM($C$2:C58)/(COUNT($C$2:C58)*24)</f>
        <v>0.61957602339181295</v>
      </c>
      <c r="M58" s="58">
        <f>SUM(D$2:$D58)/(COUNT($D$2:D58)*24)</f>
        <v>0.84606213450292378</v>
      </c>
      <c r="N58" s="58">
        <f>SUM($E$2:E58)/(COUNT($E$2:E58)*24)</f>
        <v>0.56237573099415206</v>
      </c>
    </row>
    <row r="59" spans="1:14">
      <c r="A59" s="44"/>
      <c r="B59" s="17">
        <v>46170</v>
      </c>
      <c r="C59" s="54">
        <v>17.920000000000002</v>
      </c>
      <c r="D59" s="54">
        <v>24</v>
      </c>
      <c r="E59" s="54">
        <v>0</v>
      </c>
      <c r="F59" s="55">
        <f t="shared" si="0"/>
        <v>0.7466666666666667</v>
      </c>
      <c r="G59" s="55">
        <f t="shared" si="1"/>
        <v>1</v>
      </c>
      <c r="H59" s="58">
        <f t="shared" si="2"/>
        <v>0</v>
      </c>
      <c r="I59" s="56">
        <v>0.91</v>
      </c>
      <c r="J59" s="56">
        <v>0.93100000000000005</v>
      </c>
      <c r="K59" s="56">
        <v>0.2077</v>
      </c>
      <c r="L59" s="58">
        <f>SUM($C$2:C59)/(COUNT($C$2:C59)*24)</f>
        <v>0.62176724137931039</v>
      </c>
      <c r="M59" s="58">
        <f>SUM(D$2:$D59)/(COUNT($D$2:D59)*24)</f>
        <v>0.84871623563218379</v>
      </c>
      <c r="N59" s="58">
        <f>SUM($E$2:E59)/(COUNT($E$2:E59)*24)</f>
        <v>0.55267959770114949</v>
      </c>
    </row>
    <row r="60" spans="1:14">
      <c r="A60" s="44"/>
      <c r="B60" s="17">
        <v>46171</v>
      </c>
      <c r="C60" s="54">
        <v>16.93</v>
      </c>
      <c r="D60" s="54">
        <v>24</v>
      </c>
      <c r="E60" s="54">
        <v>0</v>
      </c>
      <c r="F60" s="55">
        <f t="shared" si="0"/>
        <v>0.70541666666666669</v>
      </c>
      <c r="G60" s="55">
        <f t="shared" si="1"/>
        <v>1</v>
      </c>
      <c r="H60" s="58">
        <f t="shared" si="2"/>
        <v>0</v>
      </c>
      <c r="I60" s="56">
        <v>0.90300000000000002</v>
      </c>
      <c r="J60" s="56">
        <v>0.93340000000000001</v>
      </c>
      <c r="K60" s="56">
        <v>0.2006</v>
      </c>
      <c r="L60" s="58">
        <f>SUM($C$2:C60)/(COUNT($C$2:C60)*24)</f>
        <v>0.62318502824858757</v>
      </c>
      <c r="M60" s="58">
        <f>SUM(D$2:$D60)/(COUNT($D$2:D60)*24)</f>
        <v>0.85128036723163825</v>
      </c>
      <c r="N60" s="58">
        <f>SUM($E$2:E60)/(COUNT($E$2:E60)*24)</f>
        <v>0.54331214689265539</v>
      </c>
    </row>
    <row r="61" spans="1:14">
      <c r="A61" s="44"/>
      <c r="B61" s="17">
        <v>46172</v>
      </c>
      <c r="C61" s="54">
        <v>24</v>
      </c>
      <c r="D61" s="54">
        <v>24</v>
      </c>
      <c r="E61" s="54">
        <v>0</v>
      </c>
      <c r="F61" s="55">
        <f t="shared" si="0"/>
        <v>1</v>
      </c>
      <c r="G61" s="55">
        <f t="shared" si="1"/>
        <v>1</v>
      </c>
      <c r="H61" s="58">
        <f t="shared" si="2"/>
        <v>0</v>
      </c>
      <c r="I61" s="56">
        <v>0.90620000000000001</v>
      </c>
      <c r="J61" s="56">
        <v>0.93559999999999999</v>
      </c>
      <c r="K61" s="56">
        <v>0.19389999999999999</v>
      </c>
      <c r="L61" s="58">
        <f>SUM($C$2:C61)/(COUNT($C$2:C61)*24)</f>
        <v>0.62946527777777772</v>
      </c>
      <c r="M61" s="58">
        <f>SUM(D$2:$D61)/(COUNT($D$2:D61)*24)</f>
        <v>0.85375902777777768</v>
      </c>
      <c r="N61" s="58">
        <f>SUM($E$2:E61)/(COUNT($E$2:E61)*24)</f>
        <v>0.53425694444444449</v>
      </c>
    </row>
    <row r="62" spans="1:14" ht="15.75" thickBot="1">
      <c r="A62" s="47"/>
      <c r="B62" s="17">
        <v>46173</v>
      </c>
      <c r="C62" s="54">
        <v>24</v>
      </c>
      <c r="D62" s="54">
        <v>24</v>
      </c>
      <c r="E62" s="54">
        <v>0</v>
      </c>
      <c r="F62" s="55">
        <f t="shared" si="0"/>
        <v>1</v>
      </c>
      <c r="G62" s="55">
        <f t="shared" si="1"/>
        <v>1</v>
      </c>
      <c r="H62" s="58">
        <f t="shared" si="2"/>
        <v>0</v>
      </c>
      <c r="I62" s="56">
        <v>0.90920000000000001</v>
      </c>
      <c r="J62" s="56">
        <v>0.93769999999999998</v>
      </c>
      <c r="K62" s="56">
        <v>0.18759999999999999</v>
      </c>
      <c r="L62" s="58">
        <f>SUM($C$2:C62)/(COUNT($C$2:C62)*24)</f>
        <v>0.6355396174863388</v>
      </c>
      <c r="M62" s="58">
        <f>SUM(D$2:$D62)/(COUNT($D$2:D62)*24)</f>
        <v>0.85615642076502718</v>
      </c>
      <c r="N62" s="58">
        <f>SUM($E$2:E62)/(COUNT($E$2:E62)*24)</f>
        <v>0.52549863387978146</v>
      </c>
    </row>
    <row r="63" spans="1:14">
      <c r="A63" s="40" t="s">
        <v>10</v>
      </c>
      <c r="B63" s="17">
        <v>46174</v>
      </c>
      <c r="C63" s="54">
        <v>24</v>
      </c>
      <c r="D63" s="54">
        <v>24</v>
      </c>
      <c r="E63" s="54">
        <v>0</v>
      </c>
      <c r="F63" s="55">
        <f t="shared" si="0"/>
        <v>1</v>
      </c>
      <c r="G63" s="55">
        <f t="shared" si="1"/>
        <v>1</v>
      </c>
      <c r="H63" s="58">
        <f t="shared" si="2"/>
        <v>0</v>
      </c>
      <c r="I63" s="56">
        <v>1</v>
      </c>
      <c r="J63" s="56">
        <v>1</v>
      </c>
      <c r="K63" s="56">
        <v>0</v>
      </c>
      <c r="L63" s="58">
        <f>SUM($C$2:C63)/(COUNT($C$2:C63)*24)</f>
        <v>0.64141801075268812</v>
      </c>
      <c r="M63" s="58">
        <f>SUM(D$2:$D63)/(COUNT($D$2:D63)*24)</f>
        <v>0.8584764784946235</v>
      </c>
      <c r="N63" s="58">
        <f>SUM($E$2:E63)/(COUNT($E$2:E63)*24)</f>
        <v>0.51702284946236565</v>
      </c>
    </row>
    <row r="64" spans="1:14">
      <c r="A64" s="41"/>
      <c r="B64" s="17">
        <v>46175</v>
      </c>
      <c r="C64" s="54">
        <v>24</v>
      </c>
      <c r="D64" s="54">
        <v>24</v>
      </c>
      <c r="E64" s="54">
        <v>0</v>
      </c>
      <c r="F64" s="55">
        <f t="shared" si="0"/>
        <v>1</v>
      </c>
      <c r="G64" s="55">
        <f t="shared" si="1"/>
        <v>1</v>
      </c>
      <c r="H64" s="58">
        <f t="shared" si="2"/>
        <v>0</v>
      </c>
      <c r="I64" s="56">
        <v>1</v>
      </c>
      <c r="J64" s="56">
        <v>1</v>
      </c>
      <c r="K64" s="56">
        <v>0</v>
      </c>
      <c r="L64" s="58">
        <f>SUM($C$2:C64)/(COUNT($C$2:C64)*24)</f>
        <v>0.64710978835978827</v>
      </c>
      <c r="M64" s="58">
        <f>SUM(D$2:$D64)/(COUNT($D$2:D64)*24)</f>
        <v>0.8607228835978834</v>
      </c>
      <c r="N64" s="58">
        <f>SUM($E$2:E64)/(COUNT($E$2:E64)*24)</f>
        <v>0.50881613756613764</v>
      </c>
    </row>
    <row r="65" spans="1:14">
      <c r="A65" s="41"/>
      <c r="B65" s="17">
        <v>46176</v>
      </c>
      <c r="C65" s="54">
        <v>24</v>
      </c>
      <c r="D65" s="54">
        <v>24</v>
      </c>
      <c r="E65" s="54">
        <v>0</v>
      </c>
      <c r="F65" s="55">
        <f t="shared" si="0"/>
        <v>1</v>
      </c>
      <c r="G65" s="55">
        <f t="shared" si="1"/>
        <v>1</v>
      </c>
      <c r="H65" s="58">
        <f t="shared" si="2"/>
        <v>0</v>
      </c>
      <c r="I65" s="56">
        <v>1</v>
      </c>
      <c r="J65" s="56">
        <v>1</v>
      </c>
      <c r="K65" s="56">
        <v>0</v>
      </c>
      <c r="L65" s="58">
        <f>SUM($C$2:C65)/(COUNT($C$2:C65)*24)</f>
        <v>0.65262369791666663</v>
      </c>
      <c r="M65" s="58">
        <f>SUM(D$2:$D65)/(COUNT($D$2:D65)*24)</f>
        <v>0.86289908854166653</v>
      </c>
      <c r="N65" s="58">
        <f>SUM($E$2:E65)/(COUNT($E$2:E65)*24)</f>
        <v>0.50086588541666666</v>
      </c>
    </row>
    <row r="66" spans="1:14">
      <c r="A66" s="41"/>
      <c r="B66" s="17">
        <v>46177</v>
      </c>
      <c r="C66" s="54">
        <v>24</v>
      </c>
      <c r="D66" s="54">
        <v>19.010000000000002</v>
      </c>
      <c r="E66" s="54">
        <v>0</v>
      </c>
      <c r="F66" s="55">
        <f t="shared" si="0"/>
        <v>1</v>
      </c>
      <c r="G66" s="55">
        <f t="shared" si="1"/>
        <v>0.79208333333333336</v>
      </c>
      <c r="H66" s="58">
        <f t="shared" si="2"/>
        <v>0</v>
      </c>
      <c r="I66" s="56">
        <v>1</v>
      </c>
      <c r="J66" s="56">
        <v>0.94799999999999995</v>
      </c>
      <c r="K66" s="56">
        <v>0</v>
      </c>
      <c r="L66" s="58">
        <f>SUM($C$2:C66)/(COUNT($C$2:C66)*24)</f>
        <v>0.65796794871794861</v>
      </c>
      <c r="M66" s="58">
        <f>SUM(D$2:$D66)/(COUNT($D$2:D66)*24)</f>
        <v>0.8618096153846152</v>
      </c>
      <c r="N66" s="58">
        <f>SUM($E$2:E66)/(COUNT($E$2:E66)*24)</f>
        <v>0.49316025641025646</v>
      </c>
    </row>
    <row r="67" spans="1:14">
      <c r="A67" s="41"/>
      <c r="B67" s="17">
        <v>46178</v>
      </c>
      <c r="C67" s="54">
        <v>24</v>
      </c>
      <c r="D67" s="54">
        <v>24</v>
      </c>
      <c r="E67" s="54">
        <v>0</v>
      </c>
      <c r="F67" s="55">
        <f t="shared" ref="F67:F130" si="3">C67/24</f>
        <v>1</v>
      </c>
      <c r="G67" s="55">
        <f t="shared" ref="G67:G130" si="4">D67/24</f>
        <v>1</v>
      </c>
      <c r="H67" s="58">
        <f t="shared" ref="H67:H130" si="5">E67/24</f>
        <v>0</v>
      </c>
      <c r="I67" s="56">
        <v>1</v>
      </c>
      <c r="J67" s="56">
        <v>0.95840000000000003</v>
      </c>
      <c r="K67" s="56">
        <v>0</v>
      </c>
      <c r="L67" s="58">
        <f>SUM($C$2:C67)/(COUNT($C$2:C67)*24)</f>
        <v>0.66315025252525239</v>
      </c>
      <c r="M67" s="58">
        <f>SUM(D$2:$D67)/(COUNT($D$2:D67)*24)</f>
        <v>0.8639034090909089</v>
      </c>
      <c r="N67" s="58">
        <f>SUM($E$2:E67)/(COUNT($E$2:E67)*24)</f>
        <v>0.48568813131313132</v>
      </c>
    </row>
    <row r="68" spans="1:14">
      <c r="A68" s="41"/>
      <c r="B68" s="17">
        <v>46179</v>
      </c>
      <c r="C68" s="54">
        <v>24</v>
      </c>
      <c r="D68" s="54">
        <v>24</v>
      </c>
      <c r="E68" s="54">
        <v>0</v>
      </c>
      <c r="F68" s="55">
        <f t="shared" si="3"/>
        <v>1</v>
      </c>
      <c r="G68" s="55">
        <f t="shared" si="4"/>
        <v>1</v>
      </c>
      <c r="H68" s="58">
        <f t="shared" si="5"/>
        <v>0</v>
      </c>
      <c r="I68" s="56">
        <v>1</v>
      </c>
      <c r="J68" s="56">
        <v>0.96530000000000005</v>
      </c>
      <c r="K68" s="56">
        <v>0</v>
      </c>
      <c r="L68" s="58">
        <f>SUM($C$2:C68)/(COUNT($C$2:C68)*24)</f>
        <v>0.6681778606965173</v>
      </c>
      <c r="M68" s="58">
        <f>SUM(D$2:$D68)/(COUNT($D$2:D68)*24)</f>
        <v>0.86593470149253715</v>
      </c>
      <c r="N68" s="58">
        <f>SUM($E$2:E68)/(COUNT($E$2:E68)*24)</f>
        <v>0.47843905472636816</v>
      </c>
    </row>
    <row r="69" spans="1:14">
      <c r="A69" s="41"/>
      <c r="B69" s="17">
        <v>46180</v>
      </c>
      <c r="C69" s="54">
        <v>24</v>
      </c>
      <c r="D69" s="54">
        <v>24</v>
      </c>
      <c r="E69" s="54">
        <v>0</v>
      </c>
      <c r="F69" s="55">
        <f t="shared" si="3"/>
        <v>1</v>
      </c>
      <c r="G69" s="55">
        <f t="shared" si="4"/>
        <v>1</v>
      </c>
      <c r="H69" s="58">
        <f t="shared" si="5"/>
        <v>0</v>
      </c>
      <c r="I69" s="56">
        <v>1</v>
      </c>
      <c r="J69" s="56">
        <v>0.97030000000000005</v>
      </c>
      <c r="K69" s="56">
        <v>0</v>
      </c>
      <c r="L69" s="58">
        <f>SUM($C$2:C69)/(COUNT($C$2:C69)*24)</f>
        <v>0.67305759803921561</v>
      </c>
      <c r="M69" s="58">
        <f>SUM(D$2:$D69)/(COUNT($D$2:D69)*24)</f>
        <v>0.86790624999999988</v>
      </c>
      <c r="N69" s="58">
        <f>SUM($E$2:E69)/(COUNT($E$2:E69)*24)</f>
        <v>0.47140318627450983</v>
      </c>
    </row>
    <row r="70" spans="1:14">
      <c r="A70" s="41"/>
      <c r="B70" s="17">
        <v>46181</v>
      </c>
      <c r="C70" s="54">
        <v>24</v>
      </c>
      <c r="D70" s="54">
        <v>24</v>
      </c>
      <c r="E70" s="54">
        <v>0</v>
      </c>
      <c r="F70" s="55">
        <f t="shared" si="3"/>
        <v>1</v>
      </c>
      <c r="G70" s="55">
        <f t="shared" si="4"/>
        <v>1</v>
      </c>
      <c r="H70" s="58">
        <f t="shared" si="5"/>
        <v>0</v>
      </c>
      <c r="I70" s="56">
        <v>1</v>
      </c>
      <c r="J70" s="56">
        <v>0.97399999999999998</v>
      </c>
      <c r="K70" s="56">
        <v>0</v>
      </c>
      <c r="L70" s="58">
        <f>SUM($C$2:C70)/(COUNT($C$2:C70)*24)</f>
        <v>0.67779589371980664</v>
      </c>
      <c r="M70" s="58">
        <f>SUM(D$2:$D70)/(COUNT($D$2:D70)*24)</f>
        <v>0.86982065217391291</v>
      </c>
      <c r="N70" s="58">
        <f>SUM($E$2:E70)/(COUNT($E$2:E70)*24)</f>
        <v>0.46457125603864735</v>
      </c>
    </row>
    <row r="71" spans="1:14">
      <c r="A71" s="41"/>
      <c r="B71" s="17">
        <v>46182</v>
      </c>
      <c r="C71" s="54">
        <v>24</v>
      </c>
      <c r="D71" s="54">
        <v>24</v>
      </c>
      <c r="E71" s="54">
        <v>0</v>
      </c>
      <c r="F71" s="55">
        <f t="shared" si="3"/>
        <v>1</v>
      </c>
      <c r="G71" s="55">
        <f t="shared" si="4"/>
        <v>1</v>
      </c>
      <c r="H71" s="58">
        <f t="shared" si="5"/>
        <v>0</v>
      </c>
      <c r="I71" s="56">
        <v>1</v>
      </c>
      <c r="J71" s="56">
        <v>0.97689999999999999</v>
      </c>
      <c r="K71" s="56">
        <v>0</v>
      </c>
      <c r="L71" s="58">
        <f>SUM($C$2:C71)/(COUNT($C$2:C71)*24)</f>
        <v>0.68239880952380938</v>
      </c>
      <c r="M71" s="58">
        <f>SUM(D$2:$D71)/(COUNT($D$2:D71)*24)</f>
        <v>0.87168035714285697</v>
      </c>
      <c r="N71" s="58">
        <f>SUM($E$2:E71)/(COUNT($E$2:E71)*24)</f>
        <v>0.45793452380952382</v>
      </c>
    </row>
    <row r="72" spans="1:14">
      <c r="A72" s="41"/>
      <c r="B72" s="17">
        <v>46183</v>
      </c>
      <c r="C72" s="54">
        <v>24</v>
      </c>
      <c r="D72" s="54">
        <v>24</v>
      </c>
      <c r="E72" s="54">
        <v>0</v>
      </c>
      <c r="F72" s="55">
        <f t="shared" si="3"/>
        <v>1</v>
      </c>
      <c r="G72" s="55">
        <f t="shared" si="4"/>
        <v>1</v>
      </c>
      <c r="H72" s="58">
        <f t="shared" si="5"/>
        <v>0</v>
      </c>
      <c r="I72" s="56">
        <v>1</v>
      </c>
      <c r="J72" s="56">
        <v>0.97919999999999996</v>
      </c>
      <c r="K72" s="56">
        <v>0</v>
      </c>
      <c r="L72" s="58">
        <f>SUM($C$2:C72)/(COUNT($C$2:C72)*24)</f>
        <v>0.68687206572769943</v>
      </c>
      <c r="M72" s="58">
        <f>SUM(D$2:$D72)/(COUNT($D$2:D72)*24)</f>
        <v>0.87348767605633792</v>
      </c>
      <c r="N72" s="58">
        <f>SUM($E$2:E72)/(COUNT($E$2:E72)*24)</f>
        <v>0.45148474178403758</v>
      </c>
    </row>
    <row r="73" spans="1:14">
      <c r="A73" s="41"/>
      <c r="B73" s="17">
        <v>46184</v>
      </c>
      <c r="C73" s="54">
        <v>24</v>
      </c>
      <c r="D73" s="54">
        <v>24</v>
      </c>
      <c r="E73" s="54">
        <v>0</v>
      </c>
      <c r="F73" s="55">
        <f t="shared" si="3"/>
        <v>1</v>
      </c>
      <c r="G73" s="55">
        <f t="shared" si="4"/>
        <v>1</v>
      </c>
      <c r="H73" s="58">
        <f t="shared" si="5"/>
        <v>0</v>
      </c>
      <c r="I73" s="56">
        <v>1</v>
      </c>
      <c r="J73" s="56">
        <v>0.98109999999999997</v>
      </c>
      <c r="K73" s="56">
        <v>0</v>
      </c>
      <c r="L73" s="58">
        <f>SUM($C$2:C73)/(COUNT($C$2:C73)*24)</f>
        <v>0.69122106481481471</v>
      </c>
      <c r="M73" s="58">
        <f>SUM(D$2:$D73)/(COUNT($D$2:D73)*24)</f>
        <v>0.87524479166666658</v>
      </c>
      <c r="N73" s="58">
        <f>SUM($E$2:E73)/(COUNT($E$2:E73)*24)</f>
        <v>0.44521412037037039</v>
      </c>
    </row>
    <row r="74" spans="1:14">
      <c r="A74" s="41"/>
      <c r="B74" s="17">
        <v>46185</v>
      </c>
      <c r="C74" s="54">
        <v>24</v>
      </c>
      <c r="D74" s="54">
        <v>24</v>
      </c>
      <c r="E74" s="54">
        <v>0</v>
      </c>
      <c r="F74" s="55">
        <f t="shared" si="3"/>
        <v>1</v>
      </c>
      <c r="G74" s="55">
        <f t="shared" si="4"/>
        <v>1</v>
      </c>
      <c r="H74" s="58">
        <f t="shared" si="5"/>
        <v>0</v>
      </c>
      <c r="I74" s="56">
        <v>1</v>
      </c>
      <c r="J74" s="56">
        <v>0.98270000000000002</v>
      </c>
      <c r="K74" s="56">
        <v>0</v>
      </c>
      <c r="L74" s="58">
        <f>SUM($C$2:C74)/(COUNT($C$2:C74)*24)</f>
        <v>0.69545091324200903</v>
      </c>
      <c r="M74" s="58">
        <f>SUM(D$2:$D74)/(COUNT($D$2:D74)*24)</f>
        <v>0.87695376712328754</v>
      </c>
      <c r="N74" s="58">
        <f>SUM($E$2:E74)/(COUNT($E$2:E74)*24)</f>
        <v>0.43911529680365297</v>
      </c>
    </row>
    <row r="75" spans="1:14">
      <c r="A75" s="41"/>
      <c r="B75" s="17">
        <v>46186</v>
      </c>
      <c r="C75" s="54">
        <v>24</v>
      </c>
      <c r="D75" s="54">
        <v>24</v>
      </c>
      <c r="E75" s="54">
        <v>0</v>
      </c>
      <c r="F75" s="55">
        <f t="shared" si="3"/>
        <v>1</v>
      </c>
      <c r="G75" s="55">
        <f t="shared" si="4"/>
        <v>1</v>
      </c>
      <c r="H75" s="58">
        <f t="shared" si="5"/>
        <v>0</v>
      </c>
      <c r="I75" s="56">
        <v>1</v>
      </c>
      <c r="J75" s="56">
        <v>0.98399999999999999</v>
      </c>
      <c r="K75" s="56">
        <v>0</v>
      </c>
      <c r="L75" s="58">
        <f>SUM($C$2:C75)/(COUNT($C$2:C75)*24)</f>
        <v>0.69956644144144131</v>
      </c>
      <c r="M75" s="58">
        <f>SUM(D$2:$D75)/(COUNT($D$2:D75)*24)</f>
        <v>0.87861655405405392</v>
      </c>
      <c r="N75" s="58">
        <f>SUM($E$2:E75)/(COUNT($E$2:E75)*24)</f>
        <v>0.4331813063063063</v>
      </c>
    </row>
    <row r="76" spans="1:14">
      <c r="A76" s="41"/>
      <c r="B76" s="17">
        <v>46187</v>
      </c>
      <c r="C76" s="54">
        <v>24</v>
      </c>
      <c r="D76" s="54">
        <v>24</v>
      </c>
      <c r="E76" s="54">
        <v>0</v>
      </c>
      <c r="F76" s="55">
        <f t="shared" si="3"/>
        <v>1</v>
      </c>
      <c r="G76" s="55">
        <f t="shared" si="4"/>
        <v>1</v>
      </c>
      <c r="H76" s="58">
        <f t="shared" si="5"/>
        <v>0</v>
      </c>
      <c r="I76" s="56">
        <v>1</v>
      </c>
      <c r="J76" s="56">
        <v>0.98509999999999998</v>
      </c>
      <c r="K76" s="56">
        <v>0</v>
      </c>
      <c r="L76" s="58">
        <f>SUM($C$2:C76)/(COUNT($C$2:C76)*24)</f>
        <v>0.70357222222222215</v>
      </c>
      <c r="M76" s="58">
        <f>SUM(D$2:$D76)/(COUNT($D$2:D76)*24)</f>
        <v>0.88023499999999988</v>
      </c>
      <c r="N76" s="58">
        <f>SUM($E$2:E76)/(COUNT($E$2:E76)*24)</f>
        <v>0.42740555555555559</v>
      </c>
    </row>
    <row r="77" spans="1:14">
      <c r="A77" s="41"/>
      <c r="B77" s="17">
        <v>46188</v>
      </c>
      <c r="C77" s="54">
        <v>24</v>
      </c>
      <c r="D77" s="54">
        <v>24</v>
      </c>
      <c r="E77" s="54">
        <v>0</v>
      </c>
      <c r="F77" s="55">
        <f t="shared" si="3"/>
        <v>1</v>
      </c>
      <c r="G77" s="55">
        <f t="shared" si="4"/>
        <v>1</v>
      </c>
      <c r="H77" s="58">
        <f t="shared" si="5"/>
        <v>0</v>
      </c>
      <c r="I77" s="56">
        <v>1</v>
      </c>
      <c r="J77" s="56">
        <v>0.98609999999999998</v>
      </c>
      <c r="K77" s="56">
        <v>0</v>
      </c>
      <c r="L77" s="58">
        <f>SUM($C$2:C77)/(COUNT($C$2:C77)*24)</f>
        <v>0.70747258771929811</v>
      </c>
      <c r="M77" s="58">
        <f>SUM(D$2:$D77)/(COUNT($D$2:D77)*24)</f>
        <v>0.88181085526315772</v>
      </c>
      <c r="N77" s="58">
        <f>SUM($E$2:E77)/(COUNT($E$2:E77)*24)</f>
        <v>0.42178179824561407</v>
      </c>
    </row>
    <row r="78" spans="1:14">
      <c r="A78" s="41"/>
      <c r="B78" s="17">
        <v>46189</v>
      </c>
      <c r="C78" s="54">
        <v>24</v>
      </c>
      <c r="D78" s="54">
        <v>24</v>
      </c>
      <c r="E78" s="54">
        <v>0</v>
      </c>
      <c r="F78" s="55">
        <f t="shared" si="3"/>
        <v>1</v>
      </c>
      <c r="G78" s="55">
        <f t="shared" si="4"/>
        <v>1</v>
      </c>
      <c r="H78" s="58">
        <f t="shared" si="5"/>
        <v>0</v>
      </c>
      <c r="I78" s="56">
        <v>1</v>
      </c>
      <c r="J78" s="56">
        <v>0.98699999999999999</v>
      </c>
      <c r="K78" s="56">
        <v>0</v>
      </c>
      <c r="L78" s="58">
        <f>SUM($C$2:C78)/(COUNT($C$2:C78)*24)</f>
        <v>0.71127164502164497</v>
      </c>
      <c r="M78" s="58">
        <f>SUM(D$2:$D78)/(COUNT($D$2:D78)*24)</f>
        <v>0.88334577922077906</v>
      </c>
      <c r="N78" s="58">
        <f>SUM($E$2:E78)/(COUNT($E$2:E78)*24)</f>
        <v>0.41630411255411259</v>
      </c>
    </row>
    <row r="79" spans="1:14">
      <c r="A79" s="41"/>
      <c r="B79" s="17">
        <v>46190</v>
      </c>
      <c r="C79" s="54">
        <v>24</v>
      </c>
      <c r="D79" s="54">
        <v>24</v>
      </c>
      <c r="E79" s="54">
        <v>0</v>
      </c>
      <c r="F79" s="55">
        <f t="shared" si="3"/>
        <v>1</v>
      </c>
      <c r="G79" s="55">
        <f t="shared" si="4"/>
        <v>1</v>
      </c>
      <c r="H79" s="58">
        <f t="shared" si="5"/>
        <v>0</v>
      </c>
      <c r="I79" s="56">
        <v>1</v>
      </c>
      <c r="J79" s="56">
        <v>0.98780000000000001</v>
      </c>
      <c r="K79" s="56">
        <v>0</v>
      </c>
      <c r="L79" s="58">
        <f>SUM($C$2:C79)/(COUNT($C$2:C79)*24)</f>
        <v>0.71497329059829051</v>
      </c>
      <c r="M79" s="58">
        <f>SUM(D$2:$D79)/(COUNT($D$2:D79)*24)</f>
        <v>0.88484134615384602</v>
      </c>
      <c r="N79" s="58">
        <f>SUM($E$2:E79)/(COUNT($E$2:E79)*24)</f>
        <v>0.41096688034188034</v>
      </c>
    </row>
    <row r="80" spans="1:14">
      <c r="A80" s="41"/>
      <c r="B80" s="17">
        <v>46191</v>
      </c>
      <c r="C80" s="54">
        <v>24</v>
      </c>
      <c r="D80" s="54">
        <v>24</v>
      </c>
      <c r="E80" s="54">
        <v>0</v>
      </c>
      <c r="F80" s="55">
        <f t="shared" si="3"/>
        <v>1</v>
      </c>
      <c r="G80" s="55">
        <f t="shared" si="4"/>
        <v>1</v>
      </c>
      <c r="H80" s="58">
        <f t="shared" si="5"/>
        <v>0</v>
      </c>
      <c r="I80" s="56">
        <v>1</v>
      </c>
      <c r="J80" s="56">
        <v>0.98839999999999995</v>
      </c>
      <c r="K80" s="56">
        <v>0</v>
      </c>
      <c r="L80" s="58">
        <f>SUM($C$2:C80)/(COUNT($C$2:C80)*24)</f>
        <v>0.71858122362869192</v>
      </c>
      <c r="M80" s="58">
        <f>SUM(D$2:$D80)/(COUNT($D$2:D80)*24)</f>
        <v>0.88629905063291126</v>
      </c>
      <c r="N80" s="58">
        <f>SUM($E$2:E80)/(COUNT($E$2:E80)*24)</f>
        <v>0.4057647679324895</v>
      </c>
    </row>
    <row r="81" spans="1:14">
      <c r="A81" s="41"/>
      <c r="B81" s="17">
        <v>46192</v>
      </c>
      <c r="C81" s="54">
        <v>24</v>
      </c>
      <c r="D81" s="54">
        <v>24</v>
      </c>
      <c r="E81" s="54">
        <v>0</v>
      </c>
      <c r="F81" s="55">
        <f t="shared" si="3"/>
        <v>1</v>
      </c>
      <c r="G81" s="55">
        <f t="shared" si="4"/>
        <v>1</v>
      </c>
      <c r="H81" s="58">
        <f t="shared" si="5"/>
        <v>0</v>
      </c>
      <c r="I81" s="56">
        <v>1</v>
      </c>
      <c r="J81" s="56">
        <v>0.98909999999999998</v>
      </c>
      <c r="K81" s="56">
        <v>0</v>
      </c>
      <c r="L81" s="58">
        <f>SUM($C$2:C81)/(COUNT($C$2:C81)*24)</f>
        <v>0.72209895833333326</v>
      </c>
      <c r="M81" s="58">
        <f>SUM(D$2:$D81)/(COUNT($D$2:D81)*24)</f>
        <v>0.88772031249999983</v>
      </c>
      <c r="N81" s="58">
        <f>SUM($E$2:E81)/(COUNT($E$2:E81)*24)</f>
        <v>0.40069270833333337</v>
      </c>
    </row>
    <row r="82" spans="1:14">
      <c r="A82" s="41"/>
      <c r="B82" s="17">
        <v>46193</v>
      </c>
      <c r="C82" s="54">
        <v>24</v>
      </c>
      <c r="D82" s="54">
        <v>24</v>
      </c>
      <c r="E82" s="54">
        <v>0</v>
      </c>
      <c r="F82" s="55">
        <f t="shared" si="3"/>
        <v>1</v>
      </c>
      <c r="G82" s="55">
        <f t="shared" si="4"/>
        <v>1</v>
      </c>
      <c r="H82" s="58">
        <f t="shared" si="5"/>
        <v>0</v>
      </c>
      <c r="I82" s="56">
        <v>1</v>
      </c>
      <c r="J82" s="56">
        <v>0.98960000000000004</v>
      </c>
      <c r="K82" s="56">
        <v>0</v>
      </c>
      <c r="L82" s="58">
        <f>SUM($C$2:C82)/(COUNT($C$2:C82)*24)</f>
        <v>0.7255298353909464</v>
      </c>
      <c r="M82" s="58">
        <f>SUM(D$2:$D82)/(COUNT($D$2:D82)*24)</f>
        <v>0.88910648148148141</v>
      </c>
      <c r="N82" s="58">
        <f>SUM($E$2:E82)/(COUNT($E$2:E82)*24)</f>
        <v>0.39574588477366257</v>
      </c>
    </row>
    <row r="83" spans="1:14">
      <c r="A83" s="41"/>
      <c r="B83" s="17">
        <v>46194</v>
      </c>
      <c r="C83" s="54">
        <v>24</v>
      </c>
      <c r="D83" s="54">
        <v>24</v>
      </c>
      <c r="E83" s="54">
        <v>0</v>
      </c>
      <c r="F83" s="55">
        <f t="shared" si="3"/>
        <v>1</v>
      </c>
      <c r="G83" s="55">
        <f t="shared" si="4"/>
        <v>1</v>
      </c>
      <c r="H83" s="58">
        <f t="shared" si="5"/>
        <v>0</v>
      </c>
      <c r="I83" s="56">
        <v>1</v>
      </c>
      <c r="J83" s="56">
        <v>0.99009999999999998</v>
      </c>
      <c r="K83" s="56">
        <v>0</v>
      </c>
      <c r="L83" s="58">
        <f>SUM($C$2:C83)/(COUNT($C$2:C83)*24)</f>
        <v>0.7288770325203251</v>
      </c>
      <c r="M83" s="58">
        <f>SUM(D$2:$D83)/(COUNT($D$2:D83)*24)</f>
        <v>0.89045884146341447</v>
      </c>
      <c r="N83" s="58">
        <f>SUM($E$2:E83)/(COUNT($E$2:E83)*24)</f>
        <v>0.39091971544715448</v>
      </c>
    </row>
    <row r="84" spans="1:14">
      <c r="A84" s="41"/>
      <c r="B84" s="17">
        <v>46195</v>
      </c>
      <c r="C84" s="54">
        <v>24</v>
      </c>
      <c r="D84" s="54">
        <v>24</v>
      </c>
      <c r="E84" s="54">
        <v>0</v>
      </c>
      <c r="F84" s="55">
        <f t="shared" si="3"/>
        <v>1</v>
      </c>
      <c r="G84" s="55">
        <f t="shared" si="4"/>
        <v>1</v>
      </c>
      <c r="H84" s="58">
        <f t="shared" si="5"/>
        <v>0</v>
      </c>
      <c r="I84" s="56">
        <v>1</v>
      </c>
      <c r="J84" s="56">
        <v>0.99050000000000005</v>
      </c>
      <c r="K84" s="56">
        <v>0</v>
      </c>
      <c r="L84" s="58">
        <f>SUM($C$2:C84)/(COUNT($C$2:C84)*24)</f>
        <v>0.73214357429718868</v>
      </c>
      <c r="M84" s="58">
        <f>SUM(D$2:$D84)/(COUNT($D$2:D84)*24)</f>
        <v>0.89177861445783124</v>
      </c>
      <c r="N84" s="58">
        <f>SUM($E$2:E84)/(COUNT($E$2:E84)*24)</f>
        <v>0.38620983935742975</v>
      </c>
    </row>
    <row r="85" spans="1:14">
      <c r="A85" s="41"/>
      <c r="B85" s="17">
        <v>46196</v>
      </c>
      <c r="C85" s="54">
        <v>24</v>
      </c>
      <c r="D85" s="54">
        <v>24</v>
      </c>
      <c r="E85" s="54">
        <v>0</v>
      </c>
      <c r="F85" s="55">
        <f t="shared" si="3"/>
        <v>1</v>
      </c>
      <c r="G85" s="55">
        <f t="shared" si="4"/>
        <v>1</v>
      </c>
      <c r="H85" s="58">
        <f t="shared" si="5"/>
        <v>0</v>
      </c>
      <c r="I85" s="56">
        <v>1</v>
      </c>
      <c r="J85" s="56">
        <v>0.99099999999999999</v>
      </c>
      <c r="K85" s="56">
        <v>0</v>
      </c>
      <c r="L85" s="58">
        <f>SUM($C$2:C85)/(COUNT($C$2:C85)*24)</f>
        <v>0.73533234126984115</v>
      </c>
      <c r="M85" s="58">
        <f>SUM(D$2:$D85)/(COUNT($D$2:D85)*24)</f>
        <v>0.89306696428571419</v>
      </c>
      <c r="N85" s="58">
        <f>SUM($E$2:E85)/(COUNT($E$2:E85)*24)</f>
        <v>0.3816121031746032</v>
      </c>
    </row>
    <row r="86" spans="1:14">
      <c r="A86" s="41"/>
      <c r="B86" s="17">
        <v>46197</v>
      </c>
      <c r="C86" s="54">
        <v>24</v>
      </c>
      <c r="D86" s="54">
        <v>24</v>
      </c>
      <c r="E86" s="54">
        <v>0</v>
      </c>
      <c r="F86" s="55">
        <f t="shared" si="3"/>
        <v>1</v>
      </c>
      <c r="G86" s="55">
        <f t="shared" si="4"/>
        <v>1</v>
      </c>
      <c r="H86" s="58">
        <f t="shared" si="5"/>
        <v>0</v>
      </c>
      <c r="I86" s="56">
        <v>1</v>
      </c>
      <c r="J86" s="56">
        <v>0.99129999999999996</v>
      </c>
      <c r="K86" s="56">
        <v>0</v>
      </c>
      <c r="L86" s="58">
        <f>SUM($C$2:C86)/(COUNT($C$2:C86)*24)</f>
        <v>0.73844607843137244</v>
      </c>
      <c r="M86" s="58">
        <f>SUM(D$2:$D86)/(COUNT($D$2:D86)*24)</f>
        <v>0.89432499999999993</v>
      </c>
      <c r="N86" s="58">
        <f>SUM($E$2:E86)/(COUNT($E$2:E86)*24)</f>
        <v>0.37712254901960784</v>
      </c>
    </row>
    <row r="87" spans="1:14">
      <c r="A87" s="41"/>
      <c r="B87" s="17">
        <v>46198</v>
      </c>
      <c r="C87" s="54">
        <v>24</v>
      </c>
      <c r="D87" s="54">
        <v>24</v>
      </c>
      <c r="E87" s="54">
        <v>0</v>
      </c>
      <c r="F87" s="55">
        <f t="shared" si="3"/>
        <v>1</v>
      </c>
      <c r="G87" s="55">
        <f t="shared" si="4"/>
        <v>1</v>
      </c>
      <c r="H87" s="58">
        <f t="shared" si="5"/>
        <v>0</v>
      </c>
      <c r="I87" s="56">
        <v>1</v>
      </c>
      <c r="J87" s="56">
        <v>0.99170000000000003</v>
      </c>
      <c r="K87" s="56">
        <v>0</v>
      </c>
      <c r="L87" s="58">
        <f>SUM($C$2:C87)/(COUNT($C$2:C87)*24)</f>
        <v>0.7414874031007751</v>
      </c>
      <c r="M87" s="58">
        <f>SUM(D$2:$D87)/(COUNT($D$2:D87)*24)</f>
        <v>0.8955537790697673</v>
      </c>
      <c r="N87" s="58">
        <f>SUM($E$2:E87)/(COUNT($E$2:E87)*24)</f>
        <v>0.37273740310077519</v>
      </c>
    </row>
    <row r="88" spans="1:14">
      <c r="A88" s="41"/>
      <c r="B88" s="17">
        <v>46199</v>
      </c>
      <c r="C88" s="54">
        <v>24</v>
      </c>
      <c r="D88" s="54">
        <v>24</v>
      </c>
      <c r="E88" s="54">
        <v>0</v>
      </c>
      <c r="F88" s="55">
        <f t="shared" si="3"/>
        <v>1</v>
      </c>
      <c r="G88" s="55">
        <f t="shared" si="4"/>
        <v>1</v>
      </c>
      <c r="H88" s="58">
        <f t="shared" si="5"/>
        <v>0</v>
      </c>
      <c r="I88" s="56">
        <v>1</v>
      </c>
      <c r="J88" s="56">
        <v>0.99199999999999999</v>
      </c>
      <c r="K88" s="56">
        <v>0</v>
      </c>
      <c r="L88" s="58">
        <f>SUM($C$2:C88)/(COUNT($C$2:C88)*24)</f>
        <v>0.74445881226053634</v>
      </c>
      <c r="M88" s="58">
        <f>SUM(D$2:$D88)/(COUNT($D$2:D88)*24)</f>
        <v>0.89675431034482744</v>
      </c>
      <c r="N88" s="58">
        <f>SUM($E$2:E88)/(COUNT($E$2:E88)*24)</f>
        <v>0.36845306513409964</v>
      </c>
    </row>
    <row r="89" spans="1:14">
      <c r="A89" s="41"/>
      <c r="B89" s="17">
        <v>46200</v>
      </c>
      <c r="C89" s="54">
        <v>24</v>
      </c>
      <c r="D89" s="54">
        <v>24</v>
      </c>
      <c r="E89" s="54">
        <v>0</v>
      </c>
      <c r="F89" s="55">
        <f t="shared" si="3"/>
        <v>1</v>
      </c>
      <c r="G89" s="55">
        <f t="shared" si="4"/>
        <v>1</v>
      </c>
      <c r="H89" s="58">
        <f t="shared" si="5"/>
        <v>0</v>
      </c>
      <c r="I89" s="56">
        <v>1</v>
      </c>
      <c r="J89" s="56">
        <v>0.99229999999999996</v>
      </c>
      <c r="K89" s="56">
        <v>0</v>
      </c>
      <c r="L89" s="58">
        <f>SUM($C$2:C89)/(COUNT($C$2:C89)*24)</f>
        <v>0.74736268939393935</v>
      </c>
      <c r="M89" s="58">
        <f>SUM(D$2:$D89)/(COUNT($D$2:D89)*24)</f>
        <v>0.8979275568181817</v>
      </c>
      <c r="N89" s="58">
        <f>SUM($E$2:E89)/(COUNT($E$2:E89)*24)</f>
        <v>0.36426609848484848</v>
      </c>
    </row>
    <row r="90" spans="1:14">
      <c r="A90" s="41"/>
      <c r="B90" s="17">
        <v>46201</v>
      </c>
      <c r="C90" s="54">
        <v>24</v>
      </c>
      <c r="D90" s="54">
        <v>24</v>
      </c>
      <c r="E90" s="54">
        <v>0</v>
      </c>
      <c r="F90" s="55">
        <f t="shared" si="3"/>
        <v>1</v>
      </c>
      <c r="G90" s="55">
        <f t="shared" si="4"/>
        <v>1</v>
      </c>
      <c r="H90" s="58">
        <f t="shared" si="5"/>
        <v>0</v>
      </c>
      <c r="I90" s="56">
        <v>1</v>
      </c>
      <c r="J90" s="56">
        <v>0.99260000000000004</v>
      </c>
      <c r="K90" s="56">
        <v>0</v>
      </c>
      <c r="L90" s="58">
        <f>SUM($C$2:C90)/(COUNT($C$2:C90)*24)</f>
        <v>0.75020131086142317</v>
      </c>
      <c r="M90" s="58">
        <f>SUM(D$2:$D90)/(COUNT($D$2:D90)*24)</f>
        <v>0.89907443820224708</v>
      </c>
      <c r="N90" s="58">
        <f>SUM($E$2:E90)/(COUNT($E$2:E90)*24)</f>
        <v>0.36017322097378279</v>
      </c>
    </row>
    <row r="91" spans="1:14">
      <c r="A91" s="41"/>
      <c r="B91" s="17">
        <v>46202</v>
      </c>
      <c r="C91" s="54">
        <v>24</v>
      </c>
      <c r="D91" s="54">
        <v>24</v>
      </c>
      <c r="E91" s="54">
        <v>0</v>
      </c>
      <c r="F91" s="55">
        <f t="shared" si="3"/>
        <v>1</v>
      </c>
      <c r="G91" s="55">
        <f t="shared" si="4"/>
        <v>1</v>
      </c>
      <c r="H91" s="58">
        <f t="shared" si="5"/>
        <v>0</v>
      </c>
      <c r="I91" s="56">
        <v>1</v>
      </c>
      <c r="J91" s="56">
        <v>0.99280000000000002</v>
      </c>
      <c r="K91" s="56">
        <v>0</v>
      </c>
      <c r="L91" s="58">
        <f>SUM($C$2:C91)/(COUNT($C$2:C91)*24)</f>
        <v>0.75297685185185181</v>
      </c>
      <c r="M91" s="58">
        <f>SUM(D$2:$D91)/(COUNT($D$2:D91)*24)</f>
        <v>0.9001958333333332</v>
      </c>
      <c r="N91" s="58">
        <f>SUM($E$2:E91)/(COUNT($E$2:E91)*24)</f>
        <v>0.35617129629629629</v>
      </c>
    </row>
    <row r="92" spans="1:14" ht="15.75" thickBot="1">
      <c r="A92" s="42"/>
      <c r="B92" s="17">
        <v>46203</v>
      </c>
      <c r="C92" s="54">
        <v>24</v>
      </c>
      <c r="D92" s="54">
        <v>24</v>
      </c>
      <c r="E92" s="54">
        <v>0</v>
      </c>
      <c r="F92" s="55">
        <f t="shared" si="3"/>
        <v>1</v>
      </c>
      <c r="G92" s="55">
        <f t="shared" si="4"/>
        <v>1</v>
      </c>
      <c r="H92" s="58">
        <f t="shared" si="5"/>
        <v>0</v>
      </c>
      <c r="I92" s="56">
        <v>1</v>
      </c>
      <c r="J92" s="56">
        <v>0.99309999999999998</v>
      </c>
      <c r="K92" s="56">
        <v>0</v>
      </c>
      <c r="L92" s="58">
        <f>SUM($C$2:C92)/(COUNT($C$2:C92)*24)</f>
        <v>0.7556913919413919</v>
      </c>
      <c r="M92" s="58">
        <f>SUM(D$2:$D92)/(COUNT($D$2:D92)*24)</f>
        <v>0.90129258241758237</v>
      </c>
      <c r="N92" s="58">
        <f>SUM($E$2:E92)/(COUNT($E$2:E92)*24)</f>
        <v>0.35225732600732601</v>
      </c>
    </row>
    <row r="93" spans="1:14">
      <c r="A93" s="40" t="s">
        <v>11</v>
      </c>
      <c r="B93" s="17">
        <v>46204</v>
      </c>
      <c r="C93" s="54">
        <v>24</v>
      </c>
      <c r="D93" s="54">
        <v>24</v>
      </c>
      <c r="E93" s="54">
        <v>0</v>
      </c>
      <c r="F93" s="55">
        <f t="shared" si="3"/>
        <v>1</v>
      </c>
      <c r="G93" s="55">
        <f t="shared" si="4"/>
        <v>1</v>
      </c>
      <c r="H93" s="58">
        <f t="shared" si="5"/>
        <v>0</v>
      </c>
      <c r="I93" s="56">
        <v>1</v>
      </c>
      <c r="J93" s="56">
        <v>1</v>
      </c>
      <c r="K93" s="56">
        <v>0</v>
      </c>
      <c r="L93" s="58">
        <f>SUM($C$2:C93)/(COUNT($C$2:C93)*24)</f>
        <v>0.75834692028985495</v>
      </c>
      <c r="M93" s="58">
        <f>SUM(D$2:$D93)/(COUNT($D$2:D93)*24)</f>
        <v>0.90236548913043468</v>
      </c>
      <c r="N93" s="58">
        <f>SUM($E$2:E93)/(COUNT($E$2:E93)*24)</f>
        <v>0.34842844202898554</v>
      </c>
    </row>
    <row r="94" spans="1:14">
      <c r="A94" s="41"/>
      <c r="B94" s="17">
        <v>46205</v>
      </c>
      <c r="C94" s="54">
        <v>24</v>
      </c>
      <c r="D94" s="54">
        <v>24</v>
      </c>
      <c r="E94" s="54">
        <v>0</v>
      </c>
      <c r="F94" s="55">
        <f t="shared" si="3"/>
        <v>1</v>
      </c>
      <c r="G94" s="55">
        <f t="shared" si="4"/>
        <v>1</v>
      </c>
      <c r="H94" s="58">
        <f t="shared" si="5"/>
        <v>0</v>
      </c>
      <c r="I94" s="56">
        <v>1</v>
      </c>
      <c r="J94" s="56">
        <v>1</v>
      </c>
      <c r="K94" s="56">
        <v>0</v>
      </c>
      <c r="L94" s="58">
        <f>SUM($C$2:C94)/(COUNT($C$2:C94)*24)</f>
        <v>0.76094534050179208</v>
      </c>
      <c r="M94" s="58">
        <f>SUM(D$2:$D94)/(COUNT($D$2:D94)*24)</f>
        <v>0.90341532258064505</v>
      </c>
      <c r="N94" s="58">
        <f>SUM($E$2:E94)/(COUNT($E$2:E94)*24)</f>
        <v>0.34468189964157708</v>
      </c>
    </row>
    <row r="95" spans="1:14">
      <c r="A95" s="41"/>
      <c r="B95" s="17">
        <v>46206</v>
      </c>
      <c r="C95" s="54">
        <v>24</v>
      </c>
      <c r="D95" s="54">
        <v>24</v>
      </c>
      <c r="E95" s="54">
        <v>0</v>
      </c>
      <c r="F95" s="55">
        <f t="shared" si="3"/>
        <v>1</v>
      </c>
      <c r="G95" s="55">
        <f t="shared" si="4"/>
        <v>1</v>
      </c>
      <c r="H95" s="58">
        <f t="shared" si="5"/>
        <v>0</v>
      </c>
      <c r="I95" s="56">
        <v>1</v>
      </c>
      <c r="J95" s="56">
        <v>1</v>
      </c>
      <c r="K95" s="56">
        <v>0</v>
      </c>
      <c r="L95" s="58">
        <f>SUM($C$2:C95)/(COUNT($C$2:C95)*24)</f>
        <v>0.76348847517730489</v>
      </c>
      <c r="M95" s="58">
        <f>SUM(D$2:$D95)/(COUNT($D$2:D95)*24)</f>
        <v>0.90444281914893609</v>
      </c>
      <c r="N95" s="58">
        <f>SUM($E$2:E95)/(COUNT($E$2:E95)*24)</f>
        <v>0.34101507092198585</v>
      </c>
    </row>
    <row r="96" spans="1:14">
      <c r="A96" s="41"/>
      <c r="B96" s="17">
        <v>46207</v>
      </c>
      <c r="C96" s="54">
        <v>24</v>
      </c>
      <c r="D96" s="54">
        <v>24</v>
      </c>
      <c r="E96" s="54">
        <v>0</v>
      </c>
      <c r="F96" s="55">
        <f t="shared" si="3"/>
        <v>1</v>
      </c>
      <c r="G96" s="55">
        <f t="shared" si="4"/>
        <v>1</v>
      </c>
      <c r="H96" s="58">
        <f t="shared" si="5"/>
        <v>0</v>
      </c>
      <c r="I96" s="56">
        <v>1</v>
      </c>
      <c r="J96" s="56">
        <v>1</v>
      </c>
      <c r="K96" s="56">
        <v>0</v>
      </c>
      <c r="L96" s="58">
        <f>SUM($C$2:C96)/(COUNT($C$2:C96)*24)</f>
        <v>0.76597807017543851</v>
      </c>
      <c r="M96" s="58">
        <f>SUM(D$2:$D96)/(COUNT($D$2:D96)*24)</f>
        <v>0.90544868421052627</v>
      </c>
      <c r="N96" s="58">
        <f>SUM($E$2:E96)/(COUNT($E$2:E96)*24)</f>
        <v>0.33742543859649127</v>
      </c>
    </row>
    <row r="97" spans="1:14">
      <c r="A97" s="41"/>
      <c r="B97" s="17">
        <v>46208</v>
      </c>
      <c r="C97" s="54">
        <v>24</v>
      </c>
      <c r="D97" s="54">
        <v>24</v>
      </c>
      <c r="E97" s="54">
        <v>0</v>
      </c>
      <c r="F97" s="55">
        <f t="shared" si="3"/>
        <v>1</v>
      </c>
      <c r="G97" s="55">
        <f t="shared" si="4"/>
        <v>1</v>
      </c>
      <c r="H97" s="58">
        <f t="shared" si="5"/>
        <v>0</v>
      </c>
      <c r="I97" s="56">
        <v>1</v>
      </c>
      <c r="J97" s="56">
        <v>1</v>
      </c>
      <c r="K97" s="56">
        <v>0</v>
      </c>
      <c r="L97" s="58">
        <f>SUM($C$2:C97)/(COUNT($C$2:C97)*24)</f>
        <v>0.76841579861111109</v>
      </c>
      <c r="M97" s="58">
        <f>SUM(D$2:$D97)/(COUNT($D$2:D97)*24)</f>
        <v>0.90643359374999988</v>
      </c>
      <c r="N97" s="58">
        <f>SUM($E$2:E97)/(COUNT($E$2:E97)*24)</f>
        <v>0.33391059027777781</v>
      </c>
    </row>
    <row r="98" spans="1:14">
      <c r="A98" s="41"/>
      <c r="B98" s="17">
        <v>46209</v>
      </c>
      <c r="C98" s="54">
        <v>23.33</v>
      </c>
      <c r="D98" s="54">
        <v>24</v>
      </c>
      <c r="E98" s="54">
        <v>0</v>
      </c>
      <c r="F98" s="55">
        <f t="shared" si="3"/>
        <v>0.9720833333333333</v>
      </c>
      <c r="G98" s="55">
        <f t="shared" si="4"/>
        <v>1</v>
      </c>
      <c r="H98" s="58">
        <f t="shared" si="5"/>
        <v>0</v>
      </c>
      <c r="I98" s="56">
        <v>0.99529999999999996</v>
      </c>
      <c r="J98" s="56">
        <v>1</v>
      </c>
      <c r="K98" s="56">
        <v>0</v>
      </c>
      <c r="L98" s="58">
        <f>SUM($C$2:C98)/(COUNT($C$2:C98)*24)</f>
        <v>0.77051546391752568</v>
      </c>
      <c r="M98" s="58">
        <f>SUM(D$2:$D98)/(COUNT($D$2:D98)*24)</f>
        <v>0.90739819587628856</v>
      </c>
      <c r="N98" s="58">
        <f>SUM($E$2:E98)/(COUNT($E$2:E98)*24)</f>
        <v>0.33046821305841928</v>
      </c>
    </row>
    <row r="99" spans="1:14">
      <c r="A99" s="41"/>
      <c r="B99" s="17">
        <v>46210</v>
      </c>
      <c r="C99" s="54">
        <v>24</v>
      </c>
      <c r="D99" s="54">
        <v>24</v>
      </c>
      <c r="E99" s="54">
        <v>0</v>
      </c>
      <c r="F99" s="55">
        <f t="shared" si="3"/>
        <v>1</v>
      </c>
      <c r="G99" s="55">
        <f t="shared" si="4"/>
        <v>1</v>
      </c>
      <c r="H99" s="58">
        <f t="shared" si="5"/>
        <v>0</v>
      </c>
      <c r="I99" s="56">
        <v>0.996</v>
      </c>
      <c r="J99" s="56">
        <v>1</v>
      </c>
      <c r="K99" s="56">
        <v>0</v>
      </c>
      <c r="L99" s="58">
        <f>SUM($C$2:C99)/(COUNT($C$2:C99)*24)</f>
        <v>0.7728571428571428</v>
      </c>
      <c r="M99" s="58">
        <f>SUM(D$2:$D99)/(COUNT($D$2:D99)*24)</f>
        <v>0.90834311224489783</v>
      </c>
      <c r="N99" s="58">
        <f>SUM($E$2:E99)/(COUNT($E$2:E99)*24)</f>
        <v>0.32709608843537419</v>
      </c>
    </row>
    <row r="100" spans="1:14">
      <c r="A100" s="41"/>
      <c r="B100" s="17">
        <v>46211</v>
      </c>
      <c r="C100" s="54">
        <v>24</v>
      </c>
      <c r="D100" s="54">
        <v>24</v>
      </c>
      <c r="E100" s="54">
        <v>0</v>
      </c>
      <c r="F100" s="55">
        <f t="shared" si="3"/>
        <v>1</v>
      </c>
      <c r="G100" s="55">
        <f t="shared" si="4"/>
        <v>1</v>
      </c>
      <c r="H100" s="58">
        <f t="shared" si="5"/>
        <v>0</v>
      </c>
      <c r="I100" s="56">
        <v>0.99650000000000005</v>
      </c>
      <c r="J100" s="56">
        <v>1</v>
      </c>
      <c r="K100" s="56">
        <v>0</v>
      </c>
      <c r="L100" s="58">
        <f>SUM($C$2:C100)/(COUNT($C$2:C100)*24)</f>
        <v>0.77515151515151504</v>
      </c>
      <c r="M100" s="58">
        <f>SUM(D$2:$D100)/(COUNT($D$2:D100)*24)</f>
        <v>0.90926893939393927</v>
      </c>
      <c r="N100" s="58">
        <f>SUM($E$2:E100)/(COUNT($E$2:E100)*24)</f>
        <v>0.32379208754208755</v>
      </c>
    </row>
    <row r="101" spans="1:14">
      <c r="A101" s="41"/>
      <c r="B101" s="17">
        <v>46212</v>
      </c>
      <c r="C101" s="54">
        <v>24</v>
      </c>
      <c r="D101" s="54">
        <v>24</v>
      </c>
      <c r="E101" s="54">
        <v>0</v>
      </c>
      <c r="F101" s="55">
        <f t="shared" si="3"/>
        <v>1</v>
      </c>
      <c r="G101" s="55">
        <f t="shared" si="4"/>
        <v>1</v>
      </c>
      <c r="H101" s="58">
        <f t="shared" si="5"/>
        <v>0</v>
      </c>
      <c r="I101" s="56">
        <v>0.99690000000000001</v>
      </c>
      <c r="J101" s="56">
        <v>1</v>
      </c>
      <c r="K101" s="56">
        <v>0</v>
      </c>
      <c r="L101" s="58">
        <f>SUM($C$2:C101)/(COUNT($C$2:C101)*24)</f>
        <v>0.77739999999999987</v>
      </c>
      <c r="M101" s="58">
        <f>SUM(D$2:$D101)/(COUNT($D$2:D101)*24)</f>
        <v>0.91017624999999991</v>
      </c>
      <c r="N101" s="58">
        <f>SUM($E$2:E101)/(COUNT($E$2:E101)*24)</f>
        <v>0.3205541666666667</v>
      </c>
    </row>
    <row r="102" spans="1:14">
      <c r="A102" s="41"/>
      <c r="B102" s="17">
        <v>46213</v>
      </c>
      <c r="C102" s="54">
        <v>19.399999999999999</v>
      </c>
      <c r="D102" s="54">
        <v>24</v>
      </c>
      <c r="E102" s="54">
        <v>0</v>
      </c>
      <c r="F102" s="55">
        <f t="shared" si="3"/>
        <v>0.80833333333333324</v>
      </c>
      <c r="G102" s="55">
        <f t="shared" si="4"/>
        <v>1</v>
      </c>
      <c r="H102" s="58">
        <f t="shared" si="5"/>
        <v>0</v>
      </c>
      <c r="I102" s="56">
        <v>0.97799999999999998</v>
      </c>
      <c r="J102" s="56">
        <v>1</v>
      </c>
      <c r="K102" s="56">
        <v>0</v>
      </c>
      <c r="L102" s="58">
        <f>SUM($C$2:C102)/(COUNT($C$2:C102)*24)</f>
        <v>0.77770627062706266</v>
      </c>
      <c r="M102" s="58">
        <f>SUM(D$2:$D102)/(COUNT($D$2:D102)*24)</f>
        <v>0.91106559405940579</v>
      </c>
      <c r="N102" s="58">
        <f>SUM($E$2:E102)/(COUNT($E$2:E102)*24)</f>
        <v>0.31738036303630363</v>
      </c>
    </row>
    <row r="103" spans="1:14">
      <c r="A103" s="41"/>
      <c r="B103" s="17">
        <v>46214</v>
      </c>
      <c r="C103" s="54">
        <v>0</v>
      </c>
      <c r="D103" s="54">
        <v>24</v>
      </c>
      <c r="E103" s="54">
        <v>0</v>
      </c>
      <c r="F103" s="55">
        <f t="shared" si="3"/>
        <v>0</v>
      </c>
      <c r="G103" s="55">
        <f t="shared" si="4"/>
        <v>1</v>
      </c>
      <c r="H103" s="58">
        <f t="shared" si="5"/>
        <v>0</v>
      </c>
      <c r="I103" s="56">
        <v>0.8891</v>
      </c>
      <c r="J103" s="56">
        <v>1</v>
      </c>
      <c r="K103" s="56">
        <v>0</v>
      </c>
      <c r="L103" s="58">
        <f>SUM($C$2:C103)/(COUNT($C$2:C103)*24)</f>
        <v>0.77008169934640514</v>
      </c>
      <c r="M103" s="58">
        <f>SUM(D$2:$D103)/(COUNT($D$2:D103)*24)</f>
        <v>0.91193749999999996</v>
      </c>
      <c r="N103" s="58">
        <f>SUM($E$2:E103)/(COUNT($E$2:E103)*24)</f>
        <v>0.31426879084967324</v>
      </c>
    </row>
    <row r="104" spans="1:14">
      <c r="A104" s="41"/>
      <c r="B104" s="17">
        <v>46215</v>
      </c>
      <c r="C104" s="54">
        <v>0</v>
      </c>
      <c r="D104" s="54">
        <v>24</v>
      </c>
      <c r="E104" s="54">
        <v>0</v>
      </c>
      <c r="F104" s="55">
        <f t="shared" si="3"/>
        <v>0</v>
      </c>
      <c r="G104" s="55">
        <f t="shared" si="4"/>
        <v>1</v>
      </c>
      <c r="H104" s="58">
        <f t="shared" si="5"/>
        <v>0</v>
      </c>
      <c r="I104" s="56">
        <v>0.81499999999999995</v>
      </c>
      <c r="J104" s="56">
        <v>1</v>
      </c>
      <c r="K104" s="56">
        <v>0</v>
      </c>
      <c r="L104" s="58">
        <f>SUM($C$2:C104)/(COUNT($C$2:C104)*24)</f>
        <v>0.76260517799352745</v>
      </c>
      <c r="M104" s="58">
        <f>SUM(D$2:$D104)/(COUNT($D$2:D104)*24)</f>
        <v>0.91279247572815525</v>
      </c>
      <c r="N104" s="58">
        <f>SUM($E$2:E104)/(COUNT($E$2:E104)*24)</f>
        <v>0.31121763754045312</v>
      </c>
    </row>
    <row r="105" spans="1:14">
      <c r="A105" s="41"/>
      <c r="B105" s="17">
        <v>46216</v>
      </c>
      <c r="C105" s="54">
        <v>16.100000000000001</v>
      </c>
      <c r="D105" s="54">
        <v>24</v>
      </c>
      <c r="E105" s="54">
        <v>0</v>
      </c>
      <c r="F105" s="55">
        <f t="shared" si="3"/>
        <v>0.67083333333333339</v>
      </c>
      <c r="G105" s="55">
        <f t="shared" si="4"/>
        <v>1</v>
      </c>
      <c r="H105" s="58">
        <f t="shared" si="5"/>
        <v>0</v>
      </c>
      <c r="I105" s="56">
        <v>0.80389999999999995</v>
      </c>
      <c r="J105" s="56">
        <v>1</v>
      </c>
      <c r="K105" s="56">
        <v>0</v>
      </c>
      <c r="L105" s="58">
        <f>SUM($C$2:C105)/(COUNT($C$2:C105)*24)</f>
        <v>0.76172275641025633</v>
      </c>
      <c r="M105" s="58">
        <f>SUM(D$2:$D105)/(COUNT($D$2:D105)*24)</f>
        <v>0.91363100961538457</v>
      </c>
      <c r="N105" s="58">
        <f>SUM($E$2:E105)/(COUNT($E$2:E105)*24)</f>
        <v>0.30822516025641028</v>
      </c>
    </row>
    <row r="106" spans="1:14">
      <c r="A106" s="41"/>
      <c r="B106" s="17">
        <v>46217</v>
      </c>
      <c r="C106" s="54">
        <v>24</v>
      </c>
      <c r="D106" s="54">
        <v>24</v>
      </c>
      <c r="E106" s="54">
        <v>0</v>
      </c>
      <c r="F106" s="55">
        <f t="shared" si="3"/>
        <v>1</v>
      </c>
      <c r="G106" s="55">
        <f t="shared" si="4"/>
        <v>1</v>
      </c>
      <c r="H106" s="58">
        <f t="shared" si="5"/>
        <v>0</v>
      </c>
      <c r="I106" s="56">
        <v>0.81789999999999996</v>
      </c>
      <c r="J106" s="56">
        <v>1</v>
      </c>
      <c r="K106" s="56">
        <v>0</v>
      </c>
      <c r="L106" s="58">
        <f>SUM($C$2:C106)/(COUNT($C$2:C106)*24)</f>
        <v>0.76399206349206339</v>
      </c>
      <c r="M106" s="58">
        <f>SUM(D$2:$D106)/(COUNT($D$2:D106)*24)</f>
        <v>0.91445357142857131</v>
      </c>
      <c r="N106" s="58">
        <f>SUM($E$2:E106)/(COUNT($E$2:E106)*24)</f>
        <v>0.30528968253968258</v>
      </c>
    </row>
    <row r="107" spans="1:14">
      <c r="A107" s="41"/>
      <c r="B107" s="17">
        <v>46218</v>
      </c>
      <c r="C107" s="54">
        <v>24</v>
      </c>
      <c r="D107" s="54">
        <v>24</v>
      </c>
      <c r="E107" s="54">
        <v>0</v>
      </c>
      <c r="F107" s="55">
        <f t="shared" si="3"/>
        <v>1</v>
      </c>
      <c r="G107" s="55">
        <f t="shared" si="4"/>
        <v>1</v>
      </c>
      <c r="H107" s="58">
        <f t="shared" si="5"/>
        <v>0</v>
      </c>
      <c r="I107" s="56">
        <v>0.83009999999999995</v>
      </c>
      <c r="J107" s="56">
        <v>1</v>
      </c>
      <c r="K107" s="56">
        <v>0</v>
      </c>
      <c r="L107" s="58">
        <f>SUM($C$2:C107)/(COUNT($C$2:C107)*24)</f>
        <v>0.76621855345911938</v>
      </c>
      <c r="M107" s="58">
        <f>SUM(D$2:$D107)/(COUNT($D$2:D107)*24)</f>
        <v>0.91526061320754704</v>
      </c>
      <c r="N107" s="58">
        <f>SUM($E$2:E107)/(COUNT($E$2:E107)*24)</f>
        <v>0.30240959119496857</v>
      </c>
    </row>
    <row r="108" spans="1:14">
      <c r="A108" s="41"/>
      <c r="B108" s="17">
        <v>46219</v>
      </c>
      <c r="C108" s="54">
        <v>24</v>
      </c>
      <c r="D108" s="54">
        <v>24</v>
      </c>
      <c r="E108" s="54">
        <v>0</v>
      </c>
      <c r="F108" s="55">
        <f t="shared" si="3"/>
        <v>1</v>
      </c>
      <c r="G108" s="55">
        <f t="shared" si="4"/>
        <v>1</v>
      </c>
      <c r="H108" s="58">
        <f t="shared" si="5"/>
        <v>0</v>
      </c>
      <c r="I108" s="56">
        <v>0.8407</v>
      </c>
      <c r="J108" s="56">
        <v>1</v>
      </c>
      <c r="K108" s="56">
        <v>0</v>
      </c>
      <c r="L108" s="58">
        <f>SUM($C$2:C108)/(COUNT($C$2:C108)*24)</f>
        <v>0.76840342679127716</v>
      </c>
      <c r="M108" s="58">
        <f>SUM(D$2:$D108)/(COUNT($D$2:D108)*24)</f>
        <v>0.91605257009345786</v>
      </c>
      <c r="N108" s="58">
        <f>SUM($E$2:E108)/(COUNT($E$2:E108)*24)</f>
        <v>0.29958333333333337</v>
      </c>
    </row>
    <row r="109" spans="1:14">
      <c r="A109" s="41"/>
      <c r="B109" s="17">
        <v>46220</v>
      </c>
      <c r="C109" s="54">
        <v>24</v>
      </c>
      <c r="D109" s="54">
        <v>24</v>
      </c>
      <c r="E109" s="54">
        <v>0</v>
      </c>
      <c r="F109" s="55">
        <f t="shared" si="3"/>
        <v>1</v>
      </c>
      <c r="G109" s="55">
        <f t="shared" si="4"/>
        <v>1</v>
      </c>
      <c r="H109" s="58">
        <f t="shared" si="5"/>
        <v>0</v>
      </c>
      <c r="I109" s="56">
        <v>0.85009999999999997</v>
      </c>
      <c r="J109" s="56">
        <v>1</v>
      </c>
      <c r="K109" s="56">
        <v>0</v>
      </c>
      <c r="L109" s="58">
        <f>SUM($C$2:C109)/(COUNT($C$2:C109)*24)</f>
        <v>0.77054783950617278</v>
      </c>
      <c r="M109" s="58">
        <f>SUM(D$2:$D109)/(COUNT($D$2:D109)*24)</f>
        <v>0.91682986111111098</v>
      </c>
      <c r="N109" s="58">
        <f>SUM($E$2:E109)/(COUNT($E$2:E109)*24)</f>
        <v>0.29680941358024693</v>
      </c>
    </row>
    <row r="110" spans="1:14">
      <c r="A110" s="41"/>
      <c r="B110" s="17">
        <v>46221</v>
      </c>
      <c r="C110" s="54">
        <v>22</v>
      </c>
      <c r="D110" s="54">
        <v>24</v>
      </c>
      <c r="E110" s="54">
        <v>0</v>
      </c>
      <c r="F110" s="55">
        <f t="shared" si="3"/>
        <v>0.91666666666666663</v>
      </c>
      <c r="G110" s="55">
        <f t="shared" si="4"/>
        <v>1</v>
      </c>
      <c r="H110" s="58">
        <f t="shared" si="5"/>
        <v>0</v>
      </c>
      <c r="I110" s="56">
        <v>0.8538</v>
      </c>
      <c r="J110" s="56">
        <v>1</v>
      </c>
      <c r="K110" s="56">
        <v>0</v>
      </c>
      <c r="L110" s="58">
        <f>SUM($C$2:C110)/(COUNT($C$2:C110)*24)</f>
        <v>0.77188837920489284</v>
      </c>
      <c r="M110" s="58">
        <f>SUM(D$2:$D110)/(COUNT($D$2:D110)*24)</f>
        <v>0.91759288990825683</v>
      </c>
      <c r="N110" s="58">
        <f>SUM($E$2:E110)/(COUNT($E$2:E110)*24)</f>
        <v>0.29408639143730886</v>
      </c>
    </row>
    <row r="111" spans="1:14">
      <c r="A111" s="41"/>
      <c r="B111" s="17">
        <v>46222</v>
      </c>
      <c r="C111" s="54">
        <v>24</v>
      </c>
      <c r="D111" s="54">
        <v>24</v>
      </c>
      <c r="E111" s="54">
        <v>0</v>
      </c>
      <c r="F111" s="55">
        <f t="shared" si="3"/>
        <v>1</v>
      </c>
      <c r="G111" s="55">
        <f t="shared" si="4"/>
        <v>1</v>
      </c>
      <c r="H111" s="58">
        <f t="shared" si="5"/>
        <v>0</v>
      </c>
      <c r="I111" s="56">
        <v>0.86150000000000004</v>
      </c>
      <c r="J111" s="56">
        <v>1</v>
      </c>
      <c r="K111" s="56">
        <v>0</v>
      </c>
      <c r="L111" s="58">
        <f>SUM($C$2:C111)/(COUNT($C$2:C111)*24)</f>
        <v>0.77396212121212116</v>
      </c>
      <c r="M111" s="58">
        <f>SUM(D$2:$D111)/(COUNT($D$2:D111)*24)</f>
        <v>0.91834204545454534</v>
      </c>
      <c r="N111" s="58">
        <f>SUM($E$2:E111)/(COUNT($E$2:E111)*24)</f>
        <v>0.2914128787878788</v>
      </c>
    </row>
    <row r="112" spans="1:14">
      <c r="A112" s="41"/>
      <c r="B112" s="17">
        <v>46223</v>
      </c>
      <c r="C112" s="54">
        <v>21.53</v>
      </c>
      <c r="D112" s="54">
        <v>24</v>
      </c>
      <c r="E112" s="54">
        <v>0</v>
      </c>
      <c r="F112" s="55">
        <f t="shared" si="3"/>
        <v>0.89708333333333334</v>
      </c>
      <c r="G112" s="55">
        <f t="shared" si="4"/>
        <v>1</v>
      </c>
      <c r="H112" s="58">
        <f t="shared" si="5"/>
        <v>0</v>
      </c>
      <c r="I112" s="56">
        <v>0.86329999999999996</v>
      </c>
      <c r="J112" s="56">
        <v>1</v>
      </c>
      <c r="K112" s="56">
        <v>0</v>
      </c>
      <c r="L112" s="58">
        <f>SUM($C$2:C112)/(COUNT($C$2:C112)*24)</f>
        <v>0.77507132132132128</v>
      </c>
      <c r="M112" s="58">
        <f>SUM(D$2:$D112)/(COUNT($D$2:D112)*24)</f>
        <v>0.91907770270270261</v>
      </c>
      <c r="N112" s="58">
        <f>SUM($E$2:E112)/(COUNT($E$2:E112)*24)</f>
        <v>0.28878753753753755</v>
      </c>
    </row>
    <row r="113" spans="1:14">
      <c r="A113" s="41"/>
      <c r="B113" s="17">
        <v>46224</v>
      </c>
      <c r="C113" s="54">
        <v>21.5</v>
      </c>
      <c r="D113" s="54">
        <v>24</v>
      </c>
      <c r="E113" s="54">
        <v>0</v>
      </c>
      <c r="F113" s="55">
        <f t="shared" si="3"/>
        <v>0.89583333333333337</v>
      </c>
      <c r="G113" s="55">
        <f t="shared" si="4"/>
        <v>1</v>
      </c>
      <c r="H113" s="58">
        <f t="shared" si="5"/>
        <v>0</v>
      </c>
      <c r="I113" s="56">
        <v>0.86480000000000001</v>
      </c>
      <c r="J113" s="56">
        <v>1</v>
      </c>
      <c r="K113" s="56">
        <v>0</v>
      </c>
      <c r="L113" s="58">
        <f>SUM($C$2:C113)/(COUNT($C$2:C113)*24)</f>
        <v>0.77614955357142856</v>
      </c>
      <c r="M113" s="58">
        <f>SUM(D$2:$D113)/(COUNT($D$2:D113)*24)</f>
        <v>0.91980022321428567</v>
      </c>
      <c r="N113" s="58">
        <f>SUM($E$2:E113)/(COUNT($E$2:E113)*24)</f>
        <v>0.28620907738095241</v>
      </c>
    </row>
    <row r="114" spans="1:14">
      <c r="A114" s="41"/>
      <c r="B114" s="17">
        <v>46225</v>
      </c>
      <c r="C114" s="54">
        <v>0</v>
      </c>
      <c r="D114" s="54">
        <v>24</v>
      </c>
      <c r="E114" s="54">
        <v>0</v>
      </c>
      <c r="F114" s="55">
        <f t="shared" si="3"/>
        <v>0</v>
      </c>
      <c r="G114" s="55">
        <f t="shared" si="4"/>
        <v>1</v>
      </c>
      <c r="H114" s="58">
        <f t="shared" si="5"/>
        <v>0</v>
      </c>
      <c r="I114" s="56">
        <v>0.82550000000000001</v>
      </c>
      <c r="J114" s="56">
        <v>1</v>
      </c>
      <c r="K114" s="56">
        <v>0</v>
      </c>
      <c r="L114" s="58">
        <f>SUM($C$2:C114)/(COUNT($C$2:C114)*24)</f>
        <v>0.7692809734513274</v>
      </c>
      <c r="M114" s="58">
        <f>SUM(D$2:$D114)/(COUNT($D$2:D114)*24)</f>
        <v>0.92050995575221228</v>
      </c>
      <c r="N114" s="58">
        <f>SUM($E$2:E114)/(COUNT($E$2:E114)*24)</f>
        <v>0.28367625368731564</v>
      </c>
    </row>
    <row r="115" spans="1:14">
      <c r="A115" s="41"/>
      <c r="B115" s="17">
        <v>46226</v>
      </c>
      <c r="C115" s="54">
        <v>19.116665999999999</v>
      </c>
      <c r="D115" s="54">
        <v>24</v>
      </c>
      <c r="E115" s="54">
        <v>0</v>
      </c>
      <c r="F115" s="55">
        <f t="shared" si="3"/>
        <v>0.79652774999999998</v>
      </c>
      <c r="G115" s="55">
        <f t="shared" si="4"/>
        <v>1</v>
      </c>
      <c r="H115" s="58">
        <f t="shared" si="5"/>
        <v>0</v>
      </c>
      <c r="I115" s="56">
        <v>0.82420000000000004</v>
      </c>
      <c r="J115" s="56">
        <v>1</v>
      </c>
      <c r="K115" s="56">
        <v>0</v>
      </c>
      <c r="L115" s="58">
        <f>SUM($C$2:C115)/(COUNT($C$2:C115)*24)</f>
        <v>0.76951998026315782</v>
      </c>
      <c r="M115" s="58">
        <f>SUM(D$2:$D115)/(COUNT($D$2:D115)*24)</f>
        <v>0.92120723684210515</v>
      </c>
      <c r="N115" s="58">
        <f>SUM($E$2:E115)/(COUNT($E$2:E115)*24)</f>
        <v>0.28118786549707603</v>
      </c>
    </row>
    <row r="116" spans="1:14">
      <c r="A116" s="41"/>
      <c r="B116" s="17">
        <v>46227</v>
      </c>
      <c r="C116" s="54">
        <v>24</v>
      </c>
      <c r="D116" s="54">
        <v>24</v>
      </c>
      <c r="E116" s="54">
        <v>0</v>
      </c>
      <c r="F116" s="55">
        <f t="shared" si="3"/>
        <v>1</v>
      </c>
      <c r="G116" s="55">
        <f t="shared" si="4"/>
        <v>1</v>
      </c>
      <c r="H116" s="58">
        <f t="shared" si="5"/>
        <v>0</v>
      </c>
      <c r="I116" s="56">
        <v>0.83160000000000001</v>
      </c>
      <c r="J116" s="56">
        <v>1</v>
      </c>
      <c r="K116" s="56">
        <v>0</v>
      </c>
      <c r="L116" s="58">
        <f>SUM($C$2:C116)/(COUNT($C$2:C116)*24)</f>
        <v>0.77152415434782606</v>
      </c>
      <c r="M116" s="58">
        <f>SUM(D$2:$D116)/(COUNT($D$2:D116)*24)</f>
        <v>0.92189239130434775</v>
      </c>
      <c r="N116" s="58">
        <f>SUM($E$2:E116)/(COUNT($E$2:E116)*24)</f>
        <v>0.2787427536231884</v>
      </c>
    </row>
    <row r="117" spans="1:14">
      <c r="A117" s="41"/>
      <c r="B117" s="17">
        <v>46228</v>
      </c>
      <c r="C117" s="54">
        <v>24</v>
      </c>
      <c r="D117" s="54">
        <v>24</v>
      </c>
      <c r="E117" s="54">
        <v>0</v>
      </c>
      <c r="F117" s="55">
        <f t="shared" si="3"/>
        <v>1</v>
      </c>
      <c r="G117" s="55">
        <f t="shared" si="4"/>
        <v>1</v>
      </c>
      <c r="H117" s="58">
        <f t="shared" si="5"/>
        <v>0</v>
      </c>
      <c r="I117" s="56">
        <v>0.83830000000000005</v>
      </c>
      <c r="J117" s="56">
        <v>1</v>
      </c>
      <c r="K117" s="56">
        <v>0</v>
      </c>
      <c r="L117" s="58">
        <f>SUM($C$2:C117)/(COUNT($C$2:C117)*24)</f>
        <v>0.77349377370689654</v>
      </c>
      <c r="M117" s="58">
        <f>SUM(D$2:$D117)/(COUNT($D$2:D117)*24)</f>
        <v>0.92256573275862064</v>
      </c>
      <c r="N117" s="58">
        <f>SUM($E$2:E117)/(COUNT($E$2:E117)*24)</f>
        <v>0.27633979885057475</v>
      </c>
    </row>
    <row r="118" spans="1:14">
      <c r="A118" s="41"/>
      <c r="B118" s="17">
        <v>46229</v>
      </c>
      <c r="C118" s="54">
        <v>24</v>
      </c>
      <c r="D118" s="54">
        <v>24</v>
      </c>
      <c r="E118" s="54">
        <v>0</v>
      </c>
      <c r="F118" s="55">
        <f t="shared" si="3"/>
        <v>1</v>
      </c>
      <c r="G118" s="55">
        <f t="shared" si="4"/>
        <v>1</v>
      </c>
      <c r="H118" s="58">
        <f t="shared" si="5"/>
        <v>0</v>
      </c>
      <c r="I118" s="56">
        <v>0.84450000000000003</v>
      </c>
      <c r="J118" s="56">
        <v>1</v>
      </c>
      <c r="K118" s="56">
        <v>0</v>
      </c>
      <c r="L118" s="58">
        <f>SUM($C$2:C118)/(COUNT($C$2:C118)*24)</f>
        <v>0.77542972435897428</v>
      </c>
      <c r="M118" s="58">
        <f>SUM(D$2:$D118)/(COUNT($D$2:D118)*24)</f>
        <v>0.92322756410256401</v>
      </c>
      <c r="N118" s="58">
        <f>SUM($E$2:E118)/(COUNT($E$2:E118)*24)</f>
        <v>0.27397792022792022</v>
      </c>
    </row>
    <row r="119" spans="1:14">
      <c r="A119" s="41"/>
      <c r="B119" s="17">
        <v>46230</v>
      </c>
      <c r="C119" s="54">
        <v>24</v>
      </c>
      <c r="D119" s="54">
        <v>24</v>
      </c>
      <c r="E119" s="54">
        <v>0</v>
      </c>
      <c r="F119" s="55">
        <f t="shared" si="3"/>
        <v>1</v>
      </c>
      <c r="G119" s="55">
        <f t="shared" si="4"/>
        <v>1</v>
      </c>
      <c r="H119" s="58">
        <f t="shared" si="5"/>
        <v>0</v>
      </c>
      <c r="I119" s="56">
        <v>0.85029999999999994</v>
      </c>
      <c r="J119" s="56">
        <v>1</v>
      </c>
      <c r="K119" s="56">
        <v>0</v>
      </c>
      <c r="L119" s="58">
        <f>SUM($C$2:C119)/(COUNT($C$2:C119)*24)</f>
        <v>0.77733286228813558</v>
      </c>
      <c r="M119" s="58">
        <f>SUM(D$2:$D119)/(COUNT($D$2:D119)*24)</f>
        <v>0.92387817796610161</v>
      </c>
      <c r="N119" s="58">
        <f>SUM($E$2:E119)/(COUNT($E$2:E119)*24)</f>
        <v>0.27165607344632769</v>
      </c>
    </row>
    <row r="120" spans="1:14">
      <c r="A120" s="41"/>
      <c r="B120" s="17">
        <v>46231</v>
      </c>
      <c r="C120" s="54">
        <v>24</v>
      </c>
      <c r="D120" s="54">
        <v>24</v>
      </c>
      <c r="E120" s="54">
        <v>0</v>
      </c>
      <c r="F120" s="55">
        <f t="shared" si="3"/>
        <v>1</v>
      </c>
      <c r="G120" s="55">
        <f t="shared" si="4"/>
        <v>1</v>
      </c>
      <c r="H120" s="58">
        <f t="shared" si="5"/>
        <v>0</v>
      </c>
      <c r="I120" s="56">
        <v>0.85560000000000003</v>
      </c>
      <c r="J120" s="56">
        <v>1</v>
      </c>
      <c r="K120" s="56">
        <v>0</v>
      </c>
      <c r="L120" s="58">
        <f>SUM($C$2:C120)/(COUNT($C$2:C120)*24)</f>
        <v>0.7792040147058823</v>
      </c>
      <c r="M120" s="58">
        <f>SUM(D$2:$D120)/(COUNT($D$2:D120)*24)</f>
        <v>0.92451785714285706</v>
      </c>
      <c r="N120" s="58">
        <f>SUM($E$2:E120)/(COUNT($E$2:E120)*24)</f>
        <v>0.2693732492997199</v>
      </c>
    </row>
    <row r="121" spans="1:14">
      <c r="A121" s="41"/>
      <c r="B121" s="17">
        <v>46232</v>
      </c>
      <c r="C121" s="54">
        <v>24</v>
      </c>
      <c r="D121" s="54">
        <v>24</v>
      </c>
      <c r="E121" s="54">
        <v>19.5</v>
      </c>
      <c r="F121" s="55">
        <f t="shared" si="3"/>
        <v>1</v>
      </c>
      <c r="G121" s="55">
        <f t="shared" si="4"/>
        <v>1</v>
      </c>
      <c r="H121" s="58">
        <f t="shared" si="5"/>
        <v>0.8125</v>
      </c>
      <c r="I121" s="56">
        <v>0.86060000000000003</v>
      </c>
      <c r="J121" s="56">
        <v>1</v>
      </c>
      <c r="K121" s="56">
        <v>2.8000000000000001E-2</v>
      </c>
      <c r="L121" s="58">
        <f>SUM($C$2:C121)/(COUNT($C$2:C121)*24)</f>
        <v>0.78104398124999996</v>
      </c>
      <c r="M121" s="58">
        <f>SUM(D$2:$D121)/(COUNT($D$2:D121)*24)</f>
        <v>0.92514687499999992</v>
      </c>
      <c r="N121" s="58">
        <f>SUM($E$2:E121)/(COUNT($E$2:E121)*24)</f>
        <v>0.27389930555555558</v>
      </c>
    </row>
    <row r="122" spans="1:14">
      <c r="A122" s="41"/>
      <c r="B122" s="17">
        <v>46233</v>
      </c>
      <c r="C122" s="54">
        <v>24</v>
      </c>
      <c r="D122" s="54">
        <v>24</v>
      </c>
      <c r="E122" s="54">
        <v>24</v>
      </c>
      <c r="F122" s="55">
        <f t="shared" si="3"/>
        <v>1</v>
      </c>
      <c r="G122" s="55">
        <f t="shared" si="4"/>
        <v>1</v>
      </c>
      <c r="H122" s="58">
        <f t="shared" si="5"/>
        <v>1</v>
      </c>
      <c r="I122" s="56">
        <v>0.86519999999999997</v>
      </c>
      <c r="J122" s="56">
        <v>1</v>
      </c>
      <c r="K122" s="56">
        <v>6.0400000000000002E-2</v>
      </c>
      <c r="L122" s="58">
        <f>SUM($C$2:C122)/(COUNT($C$2:C122)*24)</f>
        <v>0.78285353512396694</v>
      </c>
      <c r="M122" s="58">
        <f>SUM(D$2:$D122)/(COUNT($D$2:D122)*24)</f>
        <v>0.92576549586776846</v>
      </c>
      <c r="N122" s="58">
        <f>SUM($E$2:E122)/(COUNT($E$2:E122)*24)</f>
        <v>0.27990013774104683</v>
      </c>
    </row>
    <row r="123" spans="1:14" ht="15.75" thickBot="1">
      <c r="A123" s="42"/>
      <c r="B123" s="17">
        <v>46234</v>
      </c>
      <c r="C123" s="54">
        <v>24</v>
      </c>
      <c r="D123" s="54">
        <v>24</v>
      </c>
      <c r="E123" s="54">
        <v>24</v>
      </c>
      <c r="F123" s="55">
        <f t="shared" si="3"/>
        <v>1</v>
      </c>
      <c r="G123" s="55">
        <f t="shared" si="4"/>
        <v>1</v>
      </c>
      <c r="H123" s="58">
        <f t="shared" si="5"/>
        <v>1</v>
      </c>
      <c r="I123" s="56">
        <v>0.86960000000000004</v>
      </c>
      <c r="J123" s="56">
        <v>1</v>
      </c>
      <c r="K123" s="56">
        <v>9.0700000000000003E-2</v>
      </c>
      <c r="L123" s="58">
        <f>SUM($C$2:C123)/(COUNT($C$2:C123)*24)</f>
        <v>0.78463342418032778</v>
      </c>
      <c r="M123" s="58">
        <f>SUM(D$2:$D123)/(COUNT($D$2:D123)*24)</f>
        <v>0.92637397540983601</v>
      </c>
      <c r="N123" s="58">
        <f>SUM($E$2:E123)/(COUNT($E$2:E123)*24)</f>
        <v>0.28580259562841531</v>
      </c>
    </row>
    <row r="124" spans="1:14">
      <c r="A124" s="40" t="s">
        <v>12</v>
      </c>
      <c r="B124" s="17">
        <v>46235</v>
      </c>
      <c r="C124" s="54">
        <v>24</v>
      </c>
      <c r="D124" s="54">
        <v>24</v>
      </c>
      <c r="E124" s="54">
        <v>24</v>
      </c>
      <c r="F124" s="55">
        <f t="shared" si="3"/>
        <v>1</v>
      </c>
      <c r="G124" s="55">
        <f t="shared" si="4"/>
        <v>1</v>
      </c>
      <c r="H124" s="58">
        <f t="shared" si="5"/>
        <v>1</v>
      </c>
      <c r="I124" s="56">
        <v>1</v>
      </c>
      <c r="J124" s="56">
        <v>1</v>
      </c>
      <c r="K124" s="56">
        <v>1</v>
      </c>
      <c r="L124" s="58">
        <f>SUM($C$2:C124)/(COUNT($C$2:C124)*24)</f>
        <v>0.78638437195121946</v>
      </c>
      <c r="M124" s="58">
        <f>SUM(D$2:$D124)/(COUNT($D$2:D124)*24)</f>
        <v>0.92697256097560965</v>
      </c>
      <c r="N124" s="58">
        <f>SUM($E$2:E124)/(COUNT($E$2:E124)*24)</f>
        <v>0.29160907859078594</v>
      </c>
    </row>
    <row r="125" spans="1:14">
      <c r="A125" s="41"/>
      <c r="B125" s="17">
        <v>46236</v>
      </c>
      <c r="C125" s="54">
        <v>24</v>
      </c>
      <c r="D125" s="54">
        <v>24</v>
      </c>
      <c r="E125" s="54">
        <v>24</v>
      </c>
      <c r="F125" s="55">
        <f t="shared" si="3"/>
        <v>1</v>
      </c>
      <c r="G125" s="55">
        <f t="shared" si="4"/>
        <v>1</v>
      </c>
      <c r="H125" s="58">
        <f t="shared" si="5"/>
        <v>1</v>
      </c>
      <c r="I125" s="56">
        <v>1</v>
      </c>
      <c r="J125" s="56">
        <v>1</v>
      </c>
      <c r="K125" s="56">
        <v>1</v>
      </c>
      <c r="L125" s="58">
        <f>SUM($C$2:C125)/(COUNT($C$2:C125)*24)</f>
        <v>0.78810707862903218</v>
      </c>
      <c r="M125" s="58">
        <f>SUM(D$2:$D125)/(COUNT($D$2:D125)*24)</f>
        <v>0.92756149193548376</v>
      </c>
      <c r="N125" s="58">
        <f>SUM($E$2:E125)/(COUNT($E$2:E125)*24)</f>
        <v>0.29732190860215058</v>
      </c>
    </row>
    <row r="126" spans="1:14">
      <c r="A126" s="41"/>
      <c r="B126" s="17">
        <v>46237</v>
      </c>
      <c r="C126" s="54">
        <v>24</v>
      </c>
      <c r="D126" s="54">
        <v>24</v>
      </c>
      <c r="E126" s="54">
        <v>24</v>
      </c>
      <c r="F126" s="55">
        <f t="shared" si="3"/>
        <v>1</v>
      </c>
      <c r="G126" s="55">
        <f t="shared" si="4"/>
        <v>1</v>
      </c>
      <c r="H126" s="58">
        <f t="shared" si="5"/>
        <v>1</v>
      </c>
      <c r="I126" s="56">
        <v>1</v>
      </c>
      <c r="J126" s="56">
        <v>1</v>
      </c>
      <c r="K126" s="56">
        <v>1</v>
      </c>
      <c r="L126" s="58">
        <f>SUM($C$2:C126)/(COUNT($C$2:C126)*24)</f>
        <v>0.78980222199999994</v>
      </c>
      <c r="M126" s="58">
        <f>SUM(D$2:$D126)/(COUNT($D$2:D126)*24)</f>
        <v>0.92814099999999988</v>
      </c>
      <c r="N126" s="58">
        <f>SUM($E$2:E126)/(COUNT($E$2:E126)*24)</f>
        <v>0.30294333333333334</v>
      </c>
    </row>
    <row r="127" spans="1:14">
      <c r="A127" s="41"/>
      <c r="B127" s="17">
        <v>46238</v>
      </c>
      <c r="C127" s="54">
        <v>24</v>
      </c>
      <c r="D127" s="54">
        <v>24</v>
      </c>
      <c r="E127" s="54">
        <v>24</v>
      </c>
      <c r="F127" s="55">
        <f t="shared" si="3"/>
        <v>1</v>
      </c>
      <c r="G127" s="55">
        <f t="shared" si="4"/>
        <v>1</v>
      </c>
      <c r="H127" s="58">
        <f t="shared" si="5"/>
        <v>1</v>
      </c>
      <c r="I127" s="56">
        <v>1</v>
      </c>
      <c r="J127" s="56">
        <v>1</v>
      </c>
      <c r="K127" s="56">
        <v>1</v>
      </c>
      <c r="L127" s="58">
        <f>SUM($C$2:C127)/(COUNT($C$2:C127)*24)</f>
        <v>0.79147045833333329</v>
      </c>
      <c r="M127" s="58">
        <f>SUM(D$2:$D127)/(COUNT($D$2:D127)*24)</f>
        <v>0.92871130952380943</v>
      </c>
      <c r="N127" s="58">
        <f>SUM($E$2:E127)/(COUNT($E$2:E127)*24)</f>
        <v>0.30847552910052911</v>
      </c>
    </row>
    <row r="128" spans="1:14">
      <c r="A128" s="41"/>
      <c r="B128" s="17">
        <v>46239</v>
      </c>
      <c r="C128" s="54">
        <v>22.25</v>
      </c>
      <c r="D128" s="54">
        <v>24</v>
      </c>
      <c r="E128" s="54">
        <v>24</v>
      </c>
      <c r="F128" s="55">
        <f t="shared" si="3"/>
        <v>0.92708333333333337</v>
      </c>
      <c r="G128" s="55">
        <f t="shared" si="4"/>
        <v>1</v>
      </c>
      <c r="H128" s="58">
        <f t="shared" si="5"/>
        <v>1</v>
      </c>
      <c r="I128" s="56">
        <v>0.98540000000000005</v>
      </c>
      <c r="J128" s="56">
        <v>1</v>
      </c>
      <c r="K128" s="56">
        <v>1</v>
      </c>
      <c r="L128" s="58">
        <f>SUM($C$2:C128)/(COUNT($C$2:C128)*24)</f>
        <v>0.79253827624671913</v>
      </c>
      <c r="M128" s="58">
        <f>SUM(D$2:$D128)/(COUNT($D$2:D128)*24)</f>
        <v>0.92927263779527547</v>
      </c>
      <c r="N128" s="58">
        <f>SUM($E$2:E128)/(COUNT($E$2:E128)*24)</f>
        <v>0.31392060367454072</v>
      </c>
    </row>
    <row r="129" spans="1:14">
      <c r="A129" s="41"/>
      <c r="B129" s="17">
        <v>46240</v>
      </c>
      <c r="C129" s="54">
        <v>22.08</v>
      </c>
      <c r="D129" s="54">
        <v>22.67</v>
      </c>
      <c r="E129" s="54">
        <v>24</v>
      </c>
      <c r="F129" s="55">
        <f t="shared" si="3"/>
        <v>0.91999999999999993</v>
      </c>
      <c r="G129" s="55">
        <f t="shared" si="4"/>
        <v>0.94458333333333344</v>
      </c>
      <c r="H129" s="58">
        <f t="shared" si="5"/>
        <v>1</v>
      </c>
      <c r="I129" s="56">
        <v>0.97450000000000003</v>
      </c>
      <c r="J129" s="56">
        <v>0.99080000000000001</v>
      </c>
      <c r="K129" s="56">
        <v>1</v>
      </c>
      <c r="L129" s="58">
        <f>SUM($C$2:C129)/(COUNT($C$2:C129)*24)</f>
        <v>0.79353407096354156</v>
      </c>
      <c r="M129" s="58">
        <f>SUM(D$2:$D129)/(COUNT($D$2:D129)*24)</f>
        <v>0.92939225260416658</v>
      </c>
      <c r="N129" s="58">
        <f>SUM($E$2:E129)/(COUNT($E$2:E129)*24)</f>
        <v>0.31928059895833333</v>
      </c>
    </row>
    <row r="130" spans="1:14">
      <c r="A130" s="41"/>
      <c r="B130" s="17">
        <v>46241</v>
      </c>
      <c r="C130" s="54">
        <v>24</v>
      </c>
      <c r="D130" s="54">
        <v>24</v>
      </c>
      <c r="E130" s="54">
        <v>24</v>
      </c>
      <c r="F130" s="55">
        <f t="shared" si="3"/>
        <v>1</v>
      </c>
      <c r="G130" s="55">
        <f t="shared" si="4"/>
        <v>1</v>
      </c>
      <c r="H130" s="58">
        <f t="shared" si="5"/>
        <v>1</v>
      </c>
      <c r="I130" s="56">
        <v>0.97819999999999996</v>
      </c>
      <c r="J130" s="56">
        <v>0.99209999999999998</v>
      </c>
      <c r="K130" s="56">
        <v>1</v>
      </c>
      <c r="L130" s="58">
        <f>SUM($C$2:C130)/(COUNT($C$2:C130)*24)</f>
        <v>0.79513458204134357</v>
      </c>
      <c r="M130" s="58">
        <f>SUM(D$2:$D130)/(COUNT($D$2:D130)*24)</f>
        <v>0.92993959948320404</v>
      </c>
      <c r="N130" s="58">
        <f>SUM($E$2:E130)/(COUNT($E$2:E130)*24)</f>
        <v>0.3245574935400517</v>
      </c>
    </row>
    <row r="131" spans="1:14">
      <c r="A131" s="41"/>
      <c r="B131" s="17">
        <v>46242</v>
      </c>
      <c r="C131" s="54">
        <v>24</v>
      </c>
      <c r="D131" s="54">
        <v>24</v>
      </c>
      <c r="E131" s="54">
        <v>24</v>
      </c>
      <c r="F131" s="55">
        <f t="shared" ref="F131:F184" si="6">C131/24</f>
        <v>1</v>
      </c>
      <c r="G131" s="55">
        <f t="shared" ref="G131:G184" si="7">D131/24</f>
        <v>1</v>
      </c>
      <c r="H131" s="58">
        <f t="shared" ref="H131:H184" si="8">E131/24</f>
        <v>1</v>
      </c>
      <c r="I131" s="56">
        <v>0.98089999999999999</v>
      </c>
      <c r="J131" s="56">
        <v>0.99309999999999998</v>
      </c>
      <c r="K131" s="56">
        <v>1</v>
      </c>
      <c r="L131" s="58">
        <f>SUM($C$2:C131)/(COUNT($C$2:C131)*24)</f>
        <v>0.79671046987179484</v>
      </c>
      <c r="M131" s="58">
        <f>SUM(D$2:$D131)/(COUNT($D$2:D131)*24)</f>
        <v>0.93047852564102562</v>
      </c>
      <c r="N131" s="58">
        <f>SUM($E$2:E131)/(COUNT($E$2:E131)*24)</f>
        <v>0.32975320512820511</v>
      </c>
    </row>
    <row r="132" spans="1:14">
      <c r="A132" s="41"/>
      <c r="B132" s="17">
        <v>46243</v>
      </c>
      <c r="C132" s="54">
        <v>24</v>
      </c>
      <c r="D132" s="54">
        <v>24</v>
      </c>
      <c r="E132" s="54">
        <v>24</v>
      </c>
      <c r="F132" s="55">
        <f t="shared" si="6"/>
        <v>1</v>
      </c>
      <c r="G132" s="55">
        <f t="shared" si="7"/>
        <v>1</v>
      </c>
      <c r="H132" s="58">
        <f t="shared" si="8"/>
        <v>1</v>
      </c>
      <c r="I132" s="56">
        <v>0.98299999999999998</v>
      </c>
      <c r="J132" s="56">
        <v>0.99380000000000002</v>
      </c>
      <c r="K132" s="56">
        <v>1</v>
      </c>
      <c r="L132" s="58">
        <f>SUM($C$2:C132)/(COUNT($C$2:C132)*24)</f>
        <v>0.79826229834605589</v>
      </c>
      <c r="M132" s="58">
        <f>SUM(D$2:$D132)/(COUNT($D$2:D132)*24)</f>
        <v>0.93100922391857499</v>
      </c>
      <c r="N132" s="58">
        <f>SUM($E$2:E132)/(COUNT($E$2:E132)*24)</f>
        <v>0.33486959287531803</v>
      </c>
    </row>
    <row r="133" spans="1:14">
      <c r="A133" s="41"/>
      <c r="B133" s="17">
        <v>46244</v>
      </c>
      <c r="C133" s="54">
        <v>24</v>
      </c>
      <c r="D133" s="54">
        <v>6.08</v>
      </c>
      <c r="E133" s="54">
        <v>7.08</v>
      </c>
      <c r="F133" s="55">
        <f t="shared" si="6"/>
        <v>1</v>
      </c>
      <c r="G133" s="55">
        <f t="shared" si="7"/>
        <v>0.25333333333333335</v>
      </c>
      <c r="H133" s="58">
        <f t="shared" si="8"/>
        <v>0.29499999999999998</v>
      </c>
      <c r="I133" s="56">
        <v>0.98470000000000002</v>
      </c>
      <c r="J133" s="56">
        <v>0.91979999999999995</v>
      </c>
      <c r="K133" s="56">
        <v>0.92949999999999999</v>
      </c>
      <c r="L133" s="58">
        <f>SUM($C$2:C133)/(COUNT($C$2:C133)*24)</f>
        <v>0.79979061426767672</v>
      </c>
      <c r="M133" s="58">
        <f>SUM(D$2:$D133)/(COUNT($D$2:D133)*24)</f>
        <v>0.92587531565656556</v>
      </c>
      <c r="N133" s="58">
        <f>SUM($E$2:E133)/(COUNT($E$2:E133)*24)</f>
        <v>0.33456755050505044</v>
      </c>
    </row>
    <row r="134" spans="1:14">
      <c r="A134" s="41"/>
      <c r="B134" s="17">
        <v>46245</v>
      </c>
      <c r="C134" s="54">
        <v>24</v>
      </c>
      <c r="D134" s="54">
        <v>0</v>
      </c>
      <c r="E134" s="54">
        <v>4.17</v>
      </c>
      <c r="F134" s="55">
        <f t="shared" si="6"/>
        <v>1</v>
      </c>
      <c r="G134" s="55">
        <f t="shared" si="7"/>
        <v>0</v>
      </c>
      <c r="H134" s="58">
        <f t="shared" si="8"/>
        <v>0.17374999999999999</v>
      </c>
      <c r="I134" s="56">
        <v>0.98609999999999998</v>
      </c>
      <c r="J134" s="56">
        <v>0.83620000000000005</v>
      </c>
      <c r="K134" s="56">
        <v>0.86080000000000001</v>
      </c>
      <c r="L134" s="58">
        <f>SUM($C$2:C134)/(COUNT($C$2:C134)*24)</f>
        <v>0.80129594799498738</v>
      </c>
      <c r="M134" s="58">
        <f>SUM(D$2:$D134)/(COUNT($D$2:D134)*24)</f>
        <v>0.91891384711779445</v>
      </c>
      <c r="N134" s="58">
        <f>SUM($E$2:E134)/(COUNT($E$2:E134)*24)</f>
        <v>0.33335839598997491</v>
      </c>
    </row>
    <row r="135" spans="1:14">
      <c r="A135" s="41"/>
      <c r="B135" s="17">
        <v>46246</v>
      </c>
      <c r="C135" s="54">
        <v>24</v>
      </c>
      <c r="D135" s="54">
        <v>0</v>
      </c>
      <c r="E135" s="54">
        <v>24</v>
      </c>
      <c r="F135" s="55">
        <f t="shared" si="6"/>
        <v>1</v>
      </c>
      <c r="G135" s="55">
        <f t="shared" si="7"/>
        <v>0</v>
      </c>
      <c r="H135" s="58">
        <f t="shared" si="8"/>
        <v>1</v>
      </c>
      <c r="I135" s="56">
        <v>0.98729999999999996</v>
      </c>
      <c r="J135" s="56">
        <v>0.76649999999999996</v>
      </c>
      <c r="K135" s="56">
        <v>0.87239999999999995</v>
      </c>
      <c r="L135" s="58">
        <f>SUM($C$2:C135)/(COUNT($C$2:C135)*24)</f>
        <v>0.80277881405472629</v>
      </c>
      <c r="M135" s="58">
        <f>SUM(D$2:$D135)/(COUNT($D$2:D135)*24)</f>
        <v>0.9120562810945273</v>
      </c>
      <c r="N135" s="58">
        <f>SUM($E$2:E135)/(COUNT($E$2:E135)*24)</f>
        <v>0.33833333333333332</v>
      </c>
    </row>
    <row r="136" spans="1:14">
      <c r="A136" s="41"/>
      <c r="B136" s="17">
        <v>46247</v>
      </c>
      <c r="C136" s="54">
        <v>24</v>
      </c>
      <c r="D136" s="54">
        <v>0</v>
      </c>
      <c r="E136" s="54">
        <v>24</v>
      </c>
      <c r="F136" s="55">
        <f t="shared" si="6"/>
        <v>1</v>
      </c>
      <c r="G136" s="55">
        <f t="shared" si="7"/>
        <v>0</v>
      </c>
      <c r="H136" s="58">
        <f t="shared" si="8"/>
        <v>1</v>
      </c>
      <c r="I136" s="56">
        <v>0.98819999999999997</v>
      </c>
      <c r="J136" s="56">
        <v>0.70750000000000002</v>
      </c>
      <c r="K136" s="56">
        <v>0.88219999999999998</v>
      </c>
      <c r="L136" s="58">
        <f>SUM($C$2:C136)/(COUNT($C$2:C136)*24)</f>
        <v>0.80423971172839503</v>
      </c>
      <c r="M136" s="58">
        <f>SUM(D$2:$D136)/(COUNT($D$2:D136)*24)</f>
        <v>0.90530030864197519</v>
      </c>
      <c r="N136" s="58">
        <f>SUM($E$2:E136)/(COUNT($E$2:E136)*24)</f>
        <v>0.34323456790123452</v>
      </c>
    </row>
    <row r="137" spans="1:14">
      <c r="A137" s="41"/>
      <c r="B137" s="17">
        <v>46248</v>
      </c>
      <c r="C137" s="54">
        <v>24</v>
      </c>
      <c r="D137" s="54">
        <v>0</v>
      </c>
      <c r="E137" s="54">
        <v>24</v>
      </c>
      <c r="F137" s="55">
        <f t="shared" si="6"/>
        <v>1</v>
      </c>
      <c r="G137" s="55">
        <f t="shared" si="7"/>
        <v>0</v>
      </c>
      <c r="H137" s="58">
        <f t="shared" si="8"/>
        <v>1</v>
      </c>
      <c r="I137" s="56">
        <v>0.98909999999999998</v>
      </c>
      <c r="J137" s="56">
        <v>0.65700000000000003</v>
      </c>
      <c r="K137" s="56">
        <v>0.89059999999999995</v>
      </c>
      <c r="L137" s="58">
        <f>SUM($C$2:C137)/(COUNT($C$2:C137)*24)</f>
        <v>0.80567912561274502</v>
      </c>
      <c r="M137" s="58">
        <f>SUM(D$2:$D137)/(COUNT($D$2:D137)*24)</f>
        <v>0.89864368872549016</v>
      </c>
      <c r="N137" s="58">
        <f>SUM($E$2:E137)/(COUNT($E$2:E137)*24)</f>
        <v>0.34806372549019604</v>
      </c>
    </row>
    <row r="138" spans="1:14">
      <c r="A138" s="41"/>
      <c r="B138" s="17">
        <v>46249</v>
      </c>
      <c r="C138" s="54">
        <v>24</v>
      </c>
      <c r="D138" s="54">
        <v>0</v>
      </c>
      <c r="E138" s="54">
        <v>24</v>
      </c>
      <c r="F138" s="55">
        <f t="shared" si="6"/>
        <v>1</v>
      </c>
      <c r="G138" s="55">
        <f t="shared" si="7"/>
        <v>0</v>
      </c>
      <c r="H138" s="58">
        <f t="shared" si="8"/>
        <v>1</v>
      </c>
      <c r="I138" s="56">
        <v>0.98980000000000001</v>
      </c>
      <c r="J138" s="56">
        <v>0.61319999999999997</v>
      </c>
      <c r="K138" s="56">
        <v>0.89790000000000003</v>
      </c>
      <c r="L138" s="58">
        <f>SUM($C$2:C138)/(COUNT($C$2:C138)*24)</f>
        <v>0.80709752615571773</v>
      </c>
      <c r="M138" s="58">
        <f>SUM(D$2:$D138)/(COUNT($D$2:D138)*24)</f>
        <v>0.89208424574209244</v>
      </c>
      <c r="N138" s="58">
        <f>SUM($E$2:E138)/(COUNT($E$2:E138)*24)</f>
        <v>0.35282238442822383</v>
      </c>
    </row>
    <row r="139" spans="1:14">
      <c r="A139" s="41"/>
      <c r="B139" s="17">
        <v>46250</v>
      </c>
      <c r="C139" s="54">
        <v>24</v>
      </c>
      <c r="D139" s="54">
        <v>0</v>
      </c>
      <c r="E139" s="54">
        <v>24</v>
      </c>
      <c r="F139" s="55">
        <f t="shared" si="6"/>
        <v>1</v>
      </c>
      <c r="G139" s="55">
        <f t="shared" si="7"/>
        <v>0</v>
      </c>
      <c r="H139" s="58">
        <f t="shared" si="8"/>
        <v>1</v>
      </c>
      <c r="I139" s="56">
        <v>0.99039999999999995</v>
      </c>
      <c r="J139" s="56">
        <v>0.57489999999999997</v>
      </c>
      <c r="K139" s="56">
        <v>0.90429999999999999</v>
      </c>
      <c r="L139" s="58">
        <f>SUM($C$2:C139)/(COUNT($C$2:C139)*24)</f>
        <v>0.80849537016908202</v>
      </c>
      <c r="M139" s="58">
        <f>SUM(D$2:$D139)/(COUNT($D$2:D139)*24)</f>
        <v>0.88561986714975838</v>
      </c>
      <c r="N139" s="58">
        <f>SUM($E$2:E139)/(COUNT($E$2:E139)*24)</f>
        <v>0.35751207729468598</v>
      </c>
    </row>
    <row r="140" spans="1:14">
      <c r="A140" s="41"/>
      <c r="B140" s="17">
        <v>46251</v>
      </c>
      <c r="C140" s="54">
        <v>24</v>
      </c>
      <c r="D140" s="54">
        <v>0</v>
      </c>
      <c r="E140" s="54">
        <v>24</v>
      </c>
      <c r="F140" s="55">
        <f t="shared" si="6"/>
        <v>1</v>
      </c>
      <c r="G140" s="55">
        <f t="shared" si="7"/>
        <v>0</v>
      </c>
      <c r="H140" s="58">
        <f t="shared" si="8"/>
        <v>1</v>
      </c>
      <c r="I140" s="56">
        <v>0.99099999999999999</v>
      </c>
      <c r="J140" s="56">
        <v>0.54110000000000003</v>
      </c>
      <c r="K140" s="56">
        <v>0.90990000000000004</v>
      </c>
      <c r="L140" s="58">
        <f>SUM($C$2:C140)/(COUNT($C$2:C140)*24)</f>
        <v>0.80987310131894474</v>
      </c>
      <c r="M140" s="58">
        <f>SUM(D$2:$D140)/(COUNT($D$2:D140)*24)</f>
        <v>0.87924850119904074</v>
      </c>
      <c r="N140" s="58">
        <f>SUM($E$2:E140)/(COUNT($E$2:E140)*24)</f>
        <v>0.3621342925659472</v>
      </c>
    </row>
    <row r="141" spans="1:14">
      <c r="A141" s="41"/>
      <c r="B141" s="17">
        <v>46252</v>
      </c>
      <c r="C141" s="54">
        <v>24</v>
      </c>
      <c r="D141" s="54">
        <v>0</v>
      </c>
      <c r="E141" s="54">
        <v>24</v>
      </c>
      <c r="F141" s="55">
        <f t="shared" si="6"/>
        <v>1</v>
      </c>
      <c r="G141" s="55">
        <f t="shared" si="7"/>
        <v>0</v>
      </c>
      <c r="H141" s="58">
        <f t="shared" si="8"/>
        <v>1</v>
      </c>
      <c r="I141" s="56">
        <v>0.99150000000000005</v>
      </c>
      <c r="J141" s="56">
        <v>0.51100000000000001</v>
      </c>
      <c r="K141" s="56">
        <v>0.91490000000000005</v>
      </c>
      <c r="L141" s="58">
        <f>SUM($C$2:C141)/(COUNT($C$2:C141)*24)</f>
        <v>0.81123115059523798</v>
      </c>
      <c r="M141" s="58">
        <f>SUM(D$2:$D141)/(COUNT($D$2:D141)*24)</f>
        <v>0.8729681547619047</v>
      </c>
      <c r="N141" s="58">
        <f>SUM($E$2:E141)/(COUNT($E$2:E141)*24)</f>
        <v>0.36669047619047618</v>
      </c>
    </row>
    <row r="142" spans="1:14">
      <c r="A142" s="41"/>
      <c r="B142" s="17">
        <v>46253</v>
      </c>
      <c r="C142" s="54">
        <v>24</v>
      </c>
      <c r="D142" s="54">
        <v>0</v>
      </c>
      <c r="E142" s="54">
        <v>24</v>
      </c>
      <c r="F142" s="55">
        <f t="shared" si="6"/>
        <v>1</v>
      </c>
      <c r="G142" s="55">
        <f t="shared" si="7"/>
        <v>0</v>
      </c>
      <c r="H142" s="58">
        <f t="shared" si="8"/>
        <v>1</v>
      </c>
      <c r="I142" s="56">
        <v>0.99199999999999999</v>
      </c>
      <c r="J142" s="56">
        <v>0.48409999999999997</v>
      </c>
      <c r="K142" s="56">
        <v>0.9194</v>
      </c>
      <c r="L142" s="58">
        <f>SUM($C$2:C142)/(COUNT($C$2:C142)*24)</f>
        <v>0.81256993676122924</v>
      </c>
      <c r="M142" s="58">
        <f>SUM(D$2:$D142)/(COUNT($D$2:D142)*24)</f>
        <v>0.86677689125295498</v>
      </c>
      <c r="N142" s="58">
        <f>SUM($E$2:E142)/(COUNT($E$2:E142)*24)</f>
        <v>0.37118203309692671</v>
      </c>
    </row>
    <row r="143" spans="1:14">
      <c r="A143" s="41"/>
      <c r="B143" s="17">
        <v>46254</v>
      </c>
      <c r="C143" s="54">
        <v>24</v>
      </c>
      <c r="D143" s="54">
        <v>0</v>
      </c>
      <c r="E143" s="54">
        <v>24</v>
      </c>
      <c r="F143" s="55">
        <f t="shared" si="6"/>
        <v>1</v>
      </c>
      <c r="G143" s="55">
        <f t="shared" si="7"/>
        <v>0</v>
      </c>
      <c r="H143" s="58">
        <f t="shared" si="8"/>
        <v>1</v>
      </c>
      <c r="I143" s="56">
        <v>0.99239999999999995</v>
      </c>
      <c r="J143" s="56">
        <v>0.45989999999999998</v>
      </c>
      <c r="K143" s="56">
        <v>0.9234</v>
      </c>
      <c r="L143" s="58">
        <f>SUM($C$2:C143)/(COUNT($C$2:C143)*24)</f>
        <v>0.81388986678403752</v>
      </c>
      <c r="M143" s="58">
        <f>SUM(D$2:$D143)/(COUNT($D$2:D143)*24)</f>
        <v>0.86067282863849759</v>
      </c>
      <c r="N143" s="58">
        <f>SUM($E$2:E143)/(COUNT($E$2:E143)*24)</f>
        <v>0.37561032863849764</v>
      </c>
    </row>
    <row r="144" spans="1:14">
      <c r="A144" s="41"/>
      <c r="B144" s="17">
        <v>46255</v>
      </c>
      <c r="C144" s="54">
        <v>24</v>
      </c>
      <c r="D144" s="54">
        <v>0.25</v>
      </c>
      <c r="E144" s="54">
        <v>24</v>
      </c>
      <c r="F144" s="55">
        <f t="shared" si="6"/>
        <v>1</v>
      </c>
      <c r="G144" s="55">
        <f t="shared" si="7"/>
        <v>1.0416666666666666E-2</v>
      </c>
      <c r="H144" s="58">
        <f t="shared" si="8"/>
        <v>1</v>
      </c>
      <c r="I144" s="56">
        <v>0.99270000000000003</v>
      </c>
      <c r="J144" s="56">
        <v>0.4385</v>
      </c>
      <c r="K144" s="56">
        <v>0.92710000000000004</v>
      </c>
      <c r="L144" s="58">
        <f>SUM($C$2:C144)/(COUNT($C$2:C144)*24)</f>
        <v>0.81519133624708617</v>
      </c>
      <c r="M144" s="58">
        <f>SUM(D$2:$D144)/(COUNT($D$2:D144)*24)</f>
        <v>0.85472698135198133</v>
      </c>
      <c r="N144" s="58">
        <f>SUM($E$2:E144)/(COUNT($E$2:E144)*24)</f>
        <v>0.37997668997668993</v>
      </c>
    </row>
    <row r="145" spans="1:14">
      <c r="A145" s="41"/>
      <c r="B145" s="17">
        <v>46256</v>
      </c>
      <c r="C145" s="54">
        <v>24</v>
      </c>
      <c r="D145" s="54">
        <v>24</v>
      </c>
      <c r="E145" s="54">
        <v>24</v>
      </c>
      <c r="F145" s="55">
        <f t="shared" si="6"/>
        <v>1</v>
      </c>
      <c r="G145" s="55">
        <f t="shared" si="7"/>
        <v>1</v>
      </c>
      <c r="H145" s="58">
        <f t="shared" si="8"/>
        <v>1</v>
      </c>
      <c r="I145" s="56">
        <v>0.99299999999999999</v>
      </c>
      <c r="J145" s="56">
        <v>0.46400000000000002</v>
      </c>
      <c r="K145" s="56">
        <v>0.9304</v>
      </c>
      <c r="L145" s="58">
        <f>SUM($C$2:C145)/(COUNT($C$2:C145)*24)</f>
        <v>0.81647472974537028</v>
      </c>
      <c r="M145" s="58">
        <f>SUM(D$2:$D145)/(COUNT($D$2:D145)*24)</f>
        <v>0.85573582175925922</v>
      </c>
      <c r="N145" s="58">
        <f>SUM($E$2:E145)/(COUNT($E$2:E145)*24)</f>
        <v>0.38428240740740738</v>
      </c>
    </row>
    <row r="146" spans="1:14">
      <c r="A146" s="41"/>
      <c r="B146" s="17">
        <v>46257</v>
      </c>
      <c r="C146" s="54">
        <v>24</v>
      </c>
      <c r="D146" s="54">
        <v>24</v>
      </c>
      <c r="E146" s="54">
        <v>24</v>
      </c>
      <c r="F146" s="55">
        <f t="shared" si="6"/>
        <v>1</v>
      </c>
      <c r="G146" s="55">
        <f t="shared" si="7"/>
        <v>1</v>
      </c>
      <c r="H146" s="58">
        <f t="shared" si="8"/>
        <v>1</v>
      </c>
      <c r="I146" s="56">
        <v>0.99339999999999995</v>
      </c>
      <c r="J146" s="56">
        <v>0.48730000000000001</v>
      </c>
      <c r="K146" s="56">
        <v>0.93340000000000001</v>
      </c>
      <c r="L146" s="58">
        <f>SUM($C$2:C146)/(COUNT($C$2:C146)*24)</f>
        <v>0.81774042126436775</v>
      </c>
      <c r="M146" s="58">
        <f>SUM(D$2:$D146)/(COUNT($D$2:D146)*24)</f>
        <v>0.85673074712643671</v>
      </c>
      <c r="N146" s="58">
        <f>SUM($E$2:E146)/(COUNT($E$2:E146)*24)</f>
        <v>0.38852873563218387</v>
      </c>
    </row>
    <row r="147" spans="1:14">
      <c r="A147" s="41"/>
      <c r="B147" s="17">
        <v>46258</v>
      </c>
      <c r="C147" s="54">
        <v>24</v>
      </c>
      <c r="D147" s="54">
        <v>24</v>
      </c>
      <c r="E147" s="54">
        <v>24</v>
      </c>
      <c r="F147" s="55">
        <f t="shared" si="6"/>
        <v>1</v>
      </c>
      <c r="G147" s="55">
        <f t="shared" si="7"/>
        <v>1</v>
      </c>
      <c r="H147" s="58">
        <f t="shared" si="8"/>
        <v>1</v>
      </c>
      <c r="I147" s="56">
        <v>0.99360000000000004</v>
      </c>
      <c r="J147" s="56">
        <v>0.50870000000000004</v>
      </c>
      <c r="K147" s="56">
        <v>0.93620000000000003</v>
      </c>
      <c r="L147" s="58">
        <f>SUM($C$2:C147)/(COUNT($C$2:C147)*24)</f>
        <v>0.81898877454337893</v>
      </c>
      <c r="M147" s="58">
        <f>SUM(D$2:$D147)/(COUNT($D$2:D147)*24)</f>
        <v>0.85771204337899531</v>
      </c>
      <c r="N147" s="58">
        <f>SUM($E$2:E147)/(COUNT($E$2:E147)*24)</f>
        <v>0.39271689497716894</v>
      </c>
    </row>
    <row r="148" spans="1:14">
      <c r="A148" s="41"/>
      <c r="B148" s="17">
        <v>46259</v>
      </c>
      <c r="C148" s="54">
        <v>24</v>
      </c>
      <c r="D148" s="54">
        <v>24</v>
      </c>
      <c r="E148" s="54">
        <v>24</v>
      </c>
      <c r="F148" s="55">
        <f t="shared" si="6"/>
        <v>1</v>
      </c>
      <c r="G148" s="55">
        <f t="shared" si="7"/>
        <v>1</v>
      </c>
      <c r="H148" s="58">
        <f t="shared" si="8"/>
        <v>1</v>
      </c>
      <c r="I148" s="56">
        <v>0.99390000000000001</v>
      </c>
      <c r="J148" s="56">
        <v>0.52829999999999999</v>
      </c>
      <c r="K148" s="56">
        <v>0.93879999999999997</v>
      </c>
      <c r="L148" s="58">
        <f>SUM($C$2:C148)/(COUNT($C$2:C148)*24)</f>
        <v>0.82022014342403626</v>
      </c>
      <c r="M148" s="58">
        <f>SUM(D$2:$D148)/(COUNT($D$2:D148)*24)</f>
        <v>0.85867998866213147</v>
      </c>
      <c r="N148" s="58">
        <f>SUM($E$2:E148)/(COUNT($E$2:E148)*24)</f>
        <v>0.39684807256235827</v>
      </c>
    </row>
    <row r="149" spans="1:14">
      <c r="A149" s="41"/>
      <c r="B149" s="17">
        <v>46260</v>
      </c>
      <c r="C149" s="54">
        <v>24</v>
      </c>
      <c r="D149" s="54">
        <v>24</v>
      </c>
      <c r="E149" s="54">
        <v>24</v>
      </c>
      <c r="F149" s="55">
        <f t="shared" si="6"/>
        <v>1</v>
      </c>
      <c r="G149" s="55">
        <f t="shared" si="7"/>
        <v>1</v>
      </c>
      <c r="H149" s="58">
        <f t="shared" si="8"/>
        <v>1</v>
      </c>
      <c r="I149" s="56">
        <v>0.99409999999999998</v>
      </c>
      <c r="J149" s="56">
        <v>0.54649999999999999</v>
      </c>
      <c r="K149" s="56">
        <v>0.94110000000000005</v>
      </c>
      <c r="L149" s="58">
        <f>SUM($C$2:C149)/(COUNT($C$2:C149)*24)</f>
        <v>0.82143487218468458</v>
      </c>
      <c r="M149" s="58">
        <f>SUM(D$2:$D149)/(COUNT($D$2:D149)*24)</f>
        <v>0.85963485360360359</v>
      </c>
      <c r="N149" s="58">
        <f>SUM($E$2:E149)/(COUNT($E$2:E149)*24)</f>
        <v>0.40092342342342341</v>
      </c>
    </row>
    <row r="150" spans="1:14">
      <c r="A150" s="41"/>
      <c r="B150" s="17">
        <v>46261</v>
      </c>
      <c r="C150" s="54">
        <v>22.43</v>
      </c>
      <c r="D150" s="54">
        <v>7.6</v>
      </c>
      <c r="E150" s="54">
        <v>24</v>
      </c>
      <c r="F150" s="55">
        <f t="shared" si="6"/>
        <v>0.93458333333333332</v>
      </c>
      <c r="G150" s="55">
        <f t="shared" si="7"/>
        <v>0.31666666666666665</v>
      </c>
      <c r="H150" s="58">
        <f t="shared" si="8"/>
        <v>1</v>
      </c>
      <c r="I150" s="56">
        <v>0.9919</v>
      </c>
      <c r="J150" s="56">
        <v>0.53800000000000003</v>
      </c>
      <c r="K150" s="56">
        <v>0.94330000000000003</v>
      </c>
      <c r="L150" s="58">
        <f>SUM($C$2:C150)/(COUNT($C$2:C150)*24)</f>
        <v>0.82219425782997757</v>
      </c>
      <c r="M150" s="58">
        <f>SUM(D$2:$D150)/(COUNT($D$2:D150)*24)</f>
        <v>0.8559907718120805</v>
      </c>
      <c r="N150" s="58">
        <f>SUM($E$2:E150)/(COUNT($E$2:E150)*24)</f>
        <v>0.40494407158836687</v>
      </c>
    </row>
    <row r="151" spans="1:14">
      <c r="A151" s="41"/>
      <c r="B151" s="17">
        <v>46262</v>
      </c>
      <c r="C151" s="54">
        <v>12.33</v>
      </c>
      <c r="D151" s="54">
        <v>0</v>
      </c>
      <c r="E151" s="54">
        <v>24</v>
      </c>
      <c r="F151" s="55">
        <f t="shared" si="6"/>
        <v>0.51375000000000004</v>
      </c>
      <c r="G151" s="55">
        <f t="shared" si="7"/>
        <v>0</v>
      </c>
      <c r="H151" s="58">
        <f t="shared" si="8"/>
        <v>1</v>
      </c>
      <c r="I151" s="56">
        <v>0.9748</v>
      </c>
      <c r="J151" s="56">
        <v>0.51880000000000004</v>
      </c>
      <c r="K151" s="56">
        <v>0.94530000000000003</v>
      </c>
      <c r="L151" s="58">
        <f>SUM($C$2:C151)/(COUNT($C$2:C151)*24)</f>
        <v>0.82013796277777762</v>
      </c>
      <c r="M151" s="58">
        <f>SUM(D$2:$D151)/(COUNT($D$2:D151)*24)</f>
        <v>0.85028416666666662</v>
      </c>
      <c r="N151" s="58">
        <f>SUM($E$2:E151)/(COUNT($E$2:E151)*24)</f>
        <v>0.40891111111111111</v>
      </c>
    </row>
    <row r="152" spans="1:14">
      <c r="A152" s="41"/>
      <c r="B152" s="17">
        <v>46263</v>
      </c>
      <c r="C152" s="54">
        <v>24</v>
      </c>
      <c r="D152" s="54">
        <v>0</v>
      </c>
      <c r="E152" s="54">
        <v>14.83</v>
      </c>
      <c r="F152" s="55">
        <f t="shared" si="6"/>
        <v>1</v>
      </c>
      <c r="G152" s="55">
        <f t="shared" si="7"/>
        <v>0</v>
      </c>
      <c r="H152" s="58">
        <f t="shared" si="8"/>
        <v>0.61791666666666667</v>
      </c>
      <c r="I152" s="56">
        <v>0.97570000000000001</v>
      </c>
      <c r="J152" s="56">
        <v>0.50090000000000001</v>
      </c>
      <c r="K152" s="56">
        <v>0.93400000000000005</v>
      </c>
      <c r="L152" s="58">
        <f>SUM($C$2:C152)/(COUNT($C$2:C152)*24)</f>
        <v>0.82132910209713017</v>
      </c>
      <c r="M152" s="58">
        <f>SUM(D$2:$D152)/(COUNT($D$2:D152)*24)</f>
        <v>0.8446531456953642</v>
      </c>
      <c r="N152" s="58">
        <f>SUM($E$2:E152)/(COUNT($E$2:E152)*24)</f>
        <v>0.41029525386313459</v>
      </c>
    </row>
    <row r="153" spans="1:14">
      <c r="A153" s="41"/>
      <c r="B153" s="17">
        <v>46264</v>
      </c>
      <c r="C153" s="54">
        <v>24</v>
      </c>
      <c r="D153" s="54">
        <v>0</v>
      </c>
      <c r="E153" s="54">
        <v>24</v>
      </c>
      <c r="F153" s="55">
        <f t="shared" si="6"/>
        <v>1</v>
      </c>
      <c r="G153" s="55">
        <f t="shared" si="7"/>
        <v>0</v>
      </c>
      <c r="H153" s="58">
        <f t="shared" si="8"/>
        <v>1</v>
      </c>
      <c r="I153" s="56">
        <v>0.97650000000000003</v>
      </c>
      <c r="J153" s="56">
        <v>0.48420000000000002</v>
      </c>
      <c r="K153" s="56">
        <v>0.93620000000000003</v>
      </c>
      <c r="L153" s="58">
        <f>SUM($C$2:C153)/(COUNT($C$2:C153)*24)</f>
        <v>0.82250456853070164</v>
      </c>
      <c r="M153" s="58">
        <f>SUM(D$2:$D153)/(COUNT($D$2:D153)*24)</f>
        <v>0.83909621710526305</v>
      </c>
      <c r="N153" s="58">
        <f>SUM($E$2:E153)/(COUNT($E$2:E153)*24)</f>
        <v>0.41417489035087718</v>
      </c>
    </row>
    <row r="154" spans="1:14">
      <c r="A154" s="41"/>
      <c r="B154" s="17">
        <v>46265</v>
      </c>
      <c r="C154" s="54">
        <v>24</v>
      </c>
      <c r="D154" s="54">
        <v>0</v>
      </c>
      <c r="E154" s="54">
        <v>24</v>
      </c>
      <c r="F154" s="55">
        <f t="shared" si="6"/>
        <v>1</v>
      </c>
      <c r="G154" s="55">
        <f t="shared" si="7"/>
        <v>0</v>
      </c>
      <c r="H154" s="58">
        <f t="shared" si="8"/>
        <v>1</v>
      </c>
      <c r="I154" s="56">
        <v>0.97729999999999995</v>
      </c>
      <c r="J154" s="56">
        <v>0.46850000000000003</v>
      </c>
      <c r="K154" s="56">
        <v>0.93830000000000002</v>
      </c>
      <c r="L154" s="58">
        <f>SUM($C$2:C154)/(COUNT($C$2:C154)*24)</f>
        <v>0.82366466938997807</v>
      </c>
      <c r="M154" s="58">
        <f>SUM(D$2:$D154)/(COUNT($D$2:D154)*24)</f>
        <v>0.83361192810457507</v>
      </c>
      <c r="N154" s="58">
        <f>SUM($E$2:E154)/(COUNT($E$2:E154)*24)</f>
        <v>0.41800381263616554</v>
      </c>
    </row>
    <row r="155" spans="1:14">
      <c r="A155" s="49" t="s">
        <v>35</v>
      </c>
      <c r="B155" s="17">
        <v>46266</v>
      </c>
      <c r="C155" s="54">
        <v>24</v>
      </c>
      <c r="D155" s="54">
        <v>0</v>
      </c>
      <c r="E155" s="54">
        <v>24</v>
      </c>
      <c r="F155" s="55">
        <f t="shared" si="6"/>
        <v>1</v>
      </c>
      <c r="G155" s="55">
        <f t="shared" si="7"/>
        <v>0</v>
      </c>
      <c r="H155" s="58">
        <f t="shared" si="8"/>
        <v>1</v>
      </c>
      <c r="I155" s="56">
        <v>1</v>
      </c>
      <c r="J155" s="56">
        <v>0</v>
      </c>
      <c r="K155" s="56">
        <v>1</v>
      </c>
      <c r="L155" s="58">
        <f>SUM($C$2:C155)/(COUNT($C$2:C155)*24)</f>
        <v>0.82480970400432885</v>
      </c>
      <c r="M155" s="58">
        <f>SUM(D$2:$D155)/(COUNT($D$2:D155)*24)</f>
        <v>0.82819886363636352</v>
      </c>
      <c r="N155" s="58">
        <f>SUM($E$2:E155)/(COUNT($E$2:E155)*24)</f>
        <v>0.42178300865800861</v>
      </c>
    </row>
    <row r="156" spans="1:14">
      <c r="A156" s="49"/>
      <c r="B156" s="17">
        <v>46267</v>
      </c>
      <c r="C156" s="54">
        <v>24</v>
      </c>
      <c r="D156" s="54">
        <v>0</v>
      </c>
      <c r="E156" s="54">
        <v>24</v>
      </c>
      <c r="F156" s="55">
        <f t="shared" si="6"/>
        <v>1</v>
      </c>
      <c r="G156" s="55">
        <f t="shared" si="7"/>
        <v>0</v>
      </c>
      <c r="H156" s="58">
        <f t="shared" si="8"/>
        <v>1</v>
      </c>
      <c r="I156" s="56">
        <v>1</v>
      </c>
      <c r="J156" s="56">
        <v>0</v>
      </c>
      <c r="K156" s="56">
        <v>1</v>
      </c>
      <c r="L156" s="58">
        <f>SUM($C$2:C156)/(COUNT($C$2:C156)*24)</f>
        <v>0.82593996397849445</v>
      </c>
      <c r="M156" s="58">
        <f>SUM(D$2:$D156)/(COUNT($D$2:D156)*24)</f>
        <v>0.82285564516129028</v>
      </c>
      <c r="N156" s="58">
        <f>SUM($E$2:E156)/(COUNT($E$2:E156)*24)</f>
        <v>0.42551344086021503</v>
      </c>
    </row>
    <row r="157" spans="1:14">
      <c r="A157" s="49"/>
      <c r="B157" s="17">
        <v>46268</v>
      </c>
      <c r="C157" s="54">
        <v>24</v>
      </c>
      <c r="D157" s="54">
        <v>0</v>
      </c>
      <c r="E157" s="54">
        <v>24</v>
      </c>
      <c r="F157" s="55">
        <f t="shared" si="6"/>
        <v>1</v>
      </c>
      <c r="G157" s="55">
        <f t="shared" si="7"/>
        <v>0</v>
      </c>
      <c r="H157" s="58">
        <f t="shared" si="8"/>
        <v>1</v>
      </c>
      <c r="I157" s="56">
        <v>1</v>
      </c>
      <c r="J157" s="56">
        <v>0</v>
      </c>
      <c r="K157" s="56">
        <v>1</v>
      </c>
      <c r="L157" s="58">
        <f>SUM($C$2:C157)/(COUNT($C$2:C157)*24)</f>
        <v>0.8270557334401708</v>
      </c>
      <c r="M157" s="58">
        <f>SUM(D$2:$D157)/(COUNT($D$2:D157)*24)</f>
        <v>0.81758092948717942</v>
      </c>
      <c r="N157" s="58">
        <f>SUM($E$2:E157)/(COUNT($E$2:E157)*24)</f>
        <v>0.42919604700854697</v>
      </c>
    </row>
    <row r="158" spans="1:14">
      <c r="A158" s="49"/>
      <c r="B158" s="17">
        <v>46269</v>
      </c>
      <c r="C158" s="54">
        <v>24</v>
      </c>
      <c r="D158" s="54">
        <v>0</v>
      </c>
      <c r="E158" s="54">
        <v>24</v>
      </c>
      <c r="F158" s="55">
        <f t="shared" si="6"/>
        <v>1</v>
      </c>
      <c r="G158" s="55">
        <f t="shared" si="7"/>
        <v>0</v>
      </c>
      <c r="H158" s="58">
        <f t="shared" si="8"/>
        <v>1</v>
      </c>
      <c r="I158" s="56">
        <v>1</v>
      </c>
      <c r="J158" s="56">
        <v>0</v>
      </c>
      <c r="K158" s="56">
        <v>1</v>
      </c>
      <c r="L158" s="58">
        <f>SUM($C$2:C158)/(COUNT($C$2:C158)*24)</f>
        <v>0.82815728927813148</v>
      </c>
      <c r="M158" s="58">
        <f>SUM(D$2:$D158)/(COUNT($D$2:D158)*24)</f>
        <v>0.81237340764331201</v>
      </c>
      <c r="N158" s="58">
        <f>SUM($E$2:E158)/(COUNT($E$2:E158)*24)</f>
        <v>0.4328317409766454</v>
      </c>
    </row>
    <row r="159" spans="1:14">
      <c r="A159" s="49"/>
      <c r="B159" s="17">
        <v>46270</v>
      </c>
      <c r="C159" s="54">
        <v>24</v>
      </c>
      <c r="D159" s="54">
        <v>0</v>
      </c>
      <c r="E159" s="54">
        <v>24</v>
      </c>
      <c r="F159" s="55">
        <f t="shared" si="6"/>
        <v>1</v>
      </c>
      <c r="G159" s="55">
        <f t="shared" si="7"/>
        <v>0</v>
      </c>
      <c r="H159" s="58">
        <f t="shared" si="8"/>
        <v>1</v>
      </c>
      <c r="I159" s="56">
        <v>1</v>
      </c>
      <c r="J159" s="56">
        <v>0</v>
      </c>
      <c r="K159" s="56">
        <v>1</v>
      </c>
      <c r="L159" s="58">
        <f>SUM($C$2:C159)/(COUNT($C$2:C159)*24)</f>
        <v>0.82924490137130791</v>
      </c>
      <c r="M159" s="58">
        <f>SUM(D$2:$D159)/(COUNT($D$2:D159)*24)</f>
        <v>0.80723180379746828</v>
      </c>
      <c r="N159" s="58">
        <f>SUM($E$2:E159)/(COUNT($E$2:E159)*24)</f>
        <v>0.43642141350210967</v>
      </c>
    </row>
    <row r="160" spans="1:14">
      <c r="A160" s="49"/>
      <c r="B160" s="17">
        <v>46271</v>
      </c>
      <c r="C160" s="54">
        <v>24</v>
      </c>
      <c r="D160" s="54">
        <v>0</v>
      </c>
      <c r="E160" s="54">
        <v>24</v>
      </c>
      <c r="F160" s="55">
        <f t="shared" si="6"/>
        <v>1</v>
      </c>
      <c r="G160" s="55">
        <f t="shared" si="7"/>
        <v>0</v>
      </c>
      <c r="H160" s="58">
        <f t="shared" si="8"/>
        <v>1</v>
      </c>
      <c r="I160" s="56">
        <v>1</v>
      </c>
      <c r="J160" s="56">
        <v>0</v>
      </c>
      <c r="K160" s="56">
        <v>1</v>
      </c>
      <c r="L160" s="58">
        <f>SUM($C$2:C160)/(COUNT($C$2:C160)*24)</f>
        <v>0.83031883280922425</v>
      </c>
      <c r="M160" s="58">
        <f>SUM(D$2:$D160)/(COUNT($D$2:D160)*24)</f>
        <v>0.80215487421383636</v>
      </c>
      <c r="N160" s="58">
        <f>SUM($E$2:E160)/(COUNT($E$2:E160)*24)</f>
        <v>0.43996593291404607</v>
      </c>
    </row>
    <row r="161" spans="1:14">
      <c r="A161" s="49"/>
      <c r="B161" s="17">
        <v>46272</v>
      </c>
      <c r="C161" s="54">
        <v>24</v>
      </c>
      <c r="D161" s="54">
        <v>0</v>
      </c>
      <c r="E161" s="54">
        <v>24</v>
      </c>
      <c r="F161" s="55">
        <f t="shared" si="6"/>
        <v>1</v>
      </c>
      <c r="G161" s="55">
        <f t="shared" si="7"/>
        <v>0</v>
      </c>
      <c r="H161" s="58">
        <f t="shared" si="8"/>
        <v>1</v>
      </c>
      <c r="I161" s="56">
        <v>1</v>
      </c>
      <c r="J161" s="56">
        <v>0</v>
      </c>
      <c r="K161" s="56">
        <v>1</v>
      </c>
      <c r="L161" s="58">
        <f>SUM($C$2:C161)/(COUNT($C$2:C161)*24)</f>
        <v>0.83137934010416659</v>
      </c>
      <c r="M161" s="58">
        <f>SUM(D$2:$D161)/(COUNT($D$2:D161)*24)</f>
        <v>0.79714140624999996</v>
      </c>
      <c r="N161" s="58">
        <f>SUM($E$2:E161)/(COUNT($E$2:E161)*24)</f>
        <v>0.44346614583333327</v>
      </c>
    </row>
    <row r="162" spans="1:14">
      <c r="A162" s="49"/>
      <c r="B162" s="17">
        <v>46273</v>
      </c>
      <c r="C162" s="54">
        <v>24</v>
      </c>
      <c r="D162" s="54">
        <v>4.5</v>
      </c>
      <c r="E162" s="54">
        <v>24</v>
      </c>
      <c r="F162" s="55">
        <f t="shared" si="6"/>
        <v>1</v>
      </c>
      <c r="G162" s="55">
        <f t="shared" si="7"/>
        <v>0.1875</v>
      </c>
      <c r="H162" s="58">
        <f t="shared" si="8"/>
        <v>1</v>
      </c>
      <c r="I162" s="56">
        <v>1</v>
      </c>
      <c r="J162" s="56">
        <v>2.3400000000000001E-2</v>
      </c>
      <c r="K162" s="56">
        <v>1</v>
      </c>
      <c r="L162" s="58">
        <f>SUM($C$2:C162)/(COUNT($C$2:C162)*24)</f>
        <v>0.83242667339544507</v>
      </c>
      <c r="M162" s="58">
        <f>SUM(D$2:$D162)/(COUNT($D$2:D162)*24)</f>
        <v>0.79335481366459615</v>
      </c>
      <c r="N162" s="58">
        <f>SUM($E$2:E162)/(COUNT($E$2:E162)*24)</f>
        <v>0.44692287784679086</v>
      </c>
    </row>
    <row r="163" spans="1:14">
      <c r="A163" s="49"/>
      <c r="B163" s="17">
        <v>46274</v>
      </c>
      <c r="C163" s="54">
        <v>24</v>
      </c>
      <c r="D163" s="54">
        <v>24</v>
      </c>
      <c r="E163" s="54">
        <v>24</v>
      </c>
      <c r="F163" s="55">
        <f t="shared" si="6"/>
        <v>1</v>
      </c>
      <c r="G163" s="55">
        <f t="shared" si="7"/>
        <v>1</v>
      </c>
      <c r="H163" s="58">
        <f t="shared" si="8"/>
        <v>1</v>
      </c>
      <c r="I163" s="56">
        <v>1</v>
      </c>
      <c r="J163" s="56">
        <v>0.13189999999999999</v>
      </c>
      <c r="K163" s="56">
        <v>1</v>
      </c>
      <c r="L163" s="58">
        <f>SUM($C$2:C163)/(COUNT($C$2:C163)*24)</f>
        <v>0.83346107664609037</v>
      </c>
      <c r="M163" s="58">
        <f>SUM(D$2:$D163)/(COUNT($D$2:D163)*24)</f>
        <v>0.79463040123456785</v>
      </c>
      <c r="N163" s="58">
        <f>SUM($E$2:E163)/(COUNT($E$2:E163)*24)</f>
        <v>0.45033693415637854</v>
      </c>
    </row>
    <row r="164" spans="1:14">
      <c r="A164" s="49"/>
      <c r="B164" s="17">
        <v>46275</v>
      </c>
      <c r="C164" s="54">
        <v>24</v>
      </c>
      <c r="D164" s="54">
        <v>24</v>
      </c>
      <c r="E164" s="54">
        <v>24</v>
      </c>
      <c r="F164" s="55">
        <f t="shared" si="6"/>
        <v>1</v>
      </c>
      <c r="G164" s="55">
        <f t="shared" si="7"/>
        <v>1</v>
      </c>
      <c r="H164" s="58">
        <f t="shared" si="8"/>
        <v>1</v>
      </c>
      <c r="I164" s="56">
        <v>1</v>
      </c>
      <c r="J164" s="56">
        <v>0.21879999999999999</v>
      </c>
      <c r="K164" s="56">
        <v>1</v>
      </c>
      <c r="L164" s="58">
        <f>SUM($C$2:C164)/(COUNT($C$2:C164)*24)</f>
        <v>0.83448278783231067</v>
      </c>
      <c r="M164" s="58">
        <f>SUM(D$2:$D164)/(COUNT($D$2:D164)*24)</f>
        <v>0.79589033742331283</v>
      </c>
      <c r="N164" s="58">
        <f>SUM($E$2:E164)/(COUNT($E$2:E164)*24)</f>
        <v>0.45370910020449895</v>
      </c>
    </row>
    <row r="165" spans="1:14">
      <c r="A165" s="49"/>
      <c r="B165" s="17">
        <v>46276</v>
      </c>
      <c r="C165" s="54">
        <v>24</v>
      </c>
      <c r="D165" s="54">
        <v>1.33</v>
      </c>
      <c r="E165" s="54">
        <v>24</v>
      </c>
      <c r="F165" s="55">
        <f t="shared" si="6"/>
        <v>1</v>
      </c>
      <c r="G165" s="55">
        <f t="shared" si="7"/>
        <v>5.541666666666667E-2</v>
      </c>
      <c r="H165" s="58">
        <f t="shared" si="8"/>
        <v>1</v>
      </c>
      <c r="I165" s="56">
        <v>1</v>
      </c>
      <c r="J165" s="56">
        <v>0.2039</v>
      </c>
      <c r="K165" s="56">
        <v>1</v>
      </c>
      <c r="L165" s="58">
        <f>SUM($C$2:C165)/(COUNT($C$2:C165)*24)</f>
        <v>0.83549203912601611</v>
      </c>
      <c r="M165" s="58">
        <f>SUM(D$2:$D165)/(COUNT($D$2:D165)*24)</f>
        <v>0.7913752540650405</v>
      </c>
      <c r="N165" s="58">
        <f>SUM($E$2:E165)/(COUNT($E$2:E165)*24)</f>
        <v>0.4570401422764227</v>
      </c>
    </row>
    <row r="166" spans="1:14">
      <c r="A166" s="49"/>
      <c r="B166" s="17">
        <v>46277</v>
      </c>
      <c r="C166" s="54">
        <v>24</v>
      </c>
      <c r="D166" s="54">
        <v>0</v>
      </c>
      <c r="E166" s="54">
        <v>24</v>
      </c>
      <c r="F166" s="55">
        <f t="shared" si="6"/>
        <v>1</v>
      </c>
      <c r="G166" s="55">
        <f t="shared" si="7"/>
        <v>0</v>
      </c>
      <c r="H166" s="58">
        <f t="shared" si="8"/>
        <v>1</v>
      </c>
      <c r="I166" s="56">
        <v>1</v>
      </c>
      <c r="J166" s="56">
        <v>0.18690000000000001</v>
      </c>
      <c r="K166" s="56">
        <v>1</v>
      </c>
      <c r="L166" s="58">
        <f>SUM($C$2:C166)/(COUNT($C$2:C166)*24)</f>
        <v>0.83648905707070698</v>
      </c>
      <c r="M166" s="58">
        <f>SUM(D$2:$D166)/(COUNT($D$2:D166)*24)</f>
        <v>0.78657904040404025</v>
      </c>
      <c r="N166" s="58">
        <f>SUM($E$2:E166)/(COUNT($E$2:E166)*24)</f>
        <v>0.46033080808080806</v>
      </c>
    </row>
    <row r="167" spans="1:14">
      <c r="A167" s="49"/>
      <c r="B167" s="17">
        <v>46278</v>
      </c>
      <c r="C167" s="54">
        <v>24</v>
      </c>
      <c r="D167" s="54">
        <v>23.26</v>
      </c>
      <c r="E167" s="54">
        <v>24</v>
      </c>
      <c r="F167" s="55">
        <f t="shared" si="6"/>
        <v>1</v>
      </c>
      <c r="G167" s="55">
        <f t="shared" si="7"/>
        <v>0.96916666666666673</v>
      </c>
      <c r="H167" s="58">
        <f t="shared" si="8"/>
        <v>1</v>
      </c>
      <c r="I167" s="56">
        <v>1</v>
      </c>
      <c r="J167" s="56">
        <v>0.24709999999999999</v>
      </c>
      <c r="K167" s="56">
        <v>1</v>
      </c>
      <c r="L167" s="58">
        <f>SUM($C$2:C167)/(COUNT($C$2:C167)*24)</f>
        <v>0.83747406275100389</v>
      </c>
      <c r="M167" s="58">
        <f>SUM(D$2:$D167)/(COUNT($D$2:D167)*24)</f>
        <v>0.78767896586345376</v>
      </c>
      <c r="N167" s="58">
        <f>SUM($E$2:E167)/(COUNT($E$2:E167)*24)</f>
        <v>0.46358182730923692</v>
      </c>
    </row>
    <row r="168" spans="1:14">
      <c r="A168" s="49"/>
      <c r="B168" s="17">
        <v>46279</v>
      </c>
      <c r="C168" s="54">
        <v>22.6</v>
      </c>
      <c r="D168" s="54">
        <v>24</v>
      </c>
      <c r="E168" s="54">
        <v>24</v>
      </c>
      <c r="F168" s="55">
        <f t="shared" si="6"/>
        <v>0.94166666666666676</v>
      </c>
      <c r="G168" s="55">
        <f t="shared" si="7"/>
        <v>1</v>
      </c>
      <c r="H168" s="58">
        <f t="shared" si="8"/>
        <v>1</v>
      </c>
      <c r="I168" s="56">
        <v>0.99580000000000002</v>
      </c>
      <c r="J168" s="56">
        <v>0.3009</v>
      </c>
      <c r="K168" s="56">
        <v>1</v>
      </c>
      <c r="L168" s="58">
        <f>SUM($C$2:C168)/(COUNT($C$2:C168)*24)</f>
        <v>0.83809797055888213</v>
      </c>
      <c r="M168" s="58">
        <f>SUM(D$2:$D168)/(COUNT($D$2:D168)*24)</f>
        <v>0.78895034930139718</v>
      </c>
      <c r="N168" s="58">
        <f>SUM($E$2:E168)/(COUNT($E$2:E168)*24)</f>
        <v>0.46679391217564864</v>
      </c>
    </row>
    <row r="169" spans="1:14">
      <c r="A169" s="49"/>
      <c r="B169" s="17">
        <v>46280</v>
      </c>
      <c r="C169" s="54">
        <v>24</v>
      </c>
      <c r="D169" s="54">
        <v>24</v>
      </c>
      <c r="E169" s="54">
        <v>24</v>
      </c>
      <c r="F169" s="55">
        <f t="shared" si="6"/>
        <v>1</v>
      </c>
      <c r="G169" s="55">
        <f t="shared" si="7"/>
        <v>1</v>
      </c>
      <c r="H169" s="58">
        <f t="shared" si="8"/>
        <v>1</v>
      </c>
      <c r="I169" s="56">
        <v>0.99609999999999999</v>
      </c>
      <c r="J169" s="56">
        <v>0.34749999999999998</v>
      </c>
      <c r="K169" s="56">
        <v>1</v>
      </c>
      <c r="L169" s="58">
        <f>SUM($C$2:C169)/(COUNT($C$2:C169)*24)</f>
        <v>0.83906167311507918</v>
      </c>
      <c r="M169" s="58">
        <f>SUM(D$2:$D169)/(COUNT($D$2:D169)*24)</f>
        <v>0.7902065972222222</v>
      </c>
      <c r="N169" s="58">
        <f>SUM($E$2:E169)/(COUNT($E$2:E169)*24)</f>
        <v>0.46996775793650791</v>
      </c>
    </row>
    <row r="170" spans="1:14">
      <c r="A170" s="49"/>
      <c r="B170" s="17">
        <v>46281</v>
      </c>
      <c r="C170" s="54">
        <v>24</v>
      </c>
      <c r="D170" s="54">
        <v>24</v>
      </c>
      <c r="E170" s="54">
        <v>24</v>
      </c>
      <c r="F170" s="55">
        <f t="shared" si="6"/>
        <v>1</v>
      </c>
      <c r="G170" s="55">
        <f t="shared" si="7"/>
        <v>1</v>
      </c>
      <c r="H170" s="58">
        <f t="shared" si="8"/>
        <v>1</v>
      </c>
      <c r="I170" s="56">
        <v>0.99639999999999995</v>
      </c>
      <c r="J170" s="56">
        <v>0.38829999999999998</v>
      </c>
      <c r="K170" s="56">
        <v>1</v>
      </c>
      <c r="L170" s="58">
        <f>SUM($C$2:C170)/(COUNT($C$2:C170)*24)</f>
        <v>0.84001397090729768</v>
      </c>
      <c r="M170" s="58">
        <f>SUM(D$2:$D170)/(COUNT($D$2:D170)*24)</f>
        <v>0.79144797830374747</v>
      </c>
      <c r="N170" s="58">
        <f>SUM($E$2:E170)/(COUNT($E$2:E170)*24)</f>
        <v>0.47310404339250489</v>
      </c>
    </row>
    <row r="171" spans="1:14">
      <c r="A171" s="49"/>
      <c r="B171" s="17">
        <v>46282</v>
      </c>
      <c r="C171" s="54">
        <v>24</v>
      </c>
      <c r="D171" s="54">
        <v>24</v>
      </c>
      <c r="E171" s="54">
        <v>24</v>
      </c>
      <c r="F171" s="55">
        <f t="shared" si="6"/>
        <v>1</v>
      </c>
      <c r="G171" s="55">
        <f t="shared" si="7"/>
        <v>1</v>
      </c>
      <c r="H171" s="58">
        <f t="shared" si="8"/>
        <v>1</v>
      </c>
      <c r="I171" s="56">
        <v>0.99660000000000004</v>
      </c>
      <c r="J171" s="56">
        <v>0.42420000000000002</v>
      </c>
      <c r="K171" s="56">
        <v>1</v>
      </c>
      <c r="L171" s="58">
        <f>SUM($C$2:C171)/(COUNT($C$2:C171)*24)</f>
        <v>0.84095506519607832</v>
      </c>
      <c r="M171" s="58">
        <f>SUM(D$2:$D171)/(COUNT($D$2:D171)*24)</f>
        <v>0.79267475490196071</v>
      </c>
      <c r="N171" s="58">
        <f>SUM($E$2:E171)/(COUNT($E$2:E171)*24)</f>
        <v>0.476203431372549</v>
      </c>
    </row>
    <row r="172" spans="1:14">
      <c r="A172" s="49"/>
      <c r="B172" s="17">
        <v>46283</v>
      </c>
      <c r="C172" s="54">
        <v>22.43</v>
      </c>
      <c r="D172" s="54">
        <v>24</v>
      </c>
      <c r="E172" s="54">
        <v>24</v>
      </c>
      <c r="F172" s="55">
        <f t="shared" si="6"/>
        <v>0.93458333333333332</v>
      </c>
      <c r="G172" s="55">
        <f t="shared" si="7"/>
        <v>1</v>
      </c>
      <c r="H172" s="58">
        <f t="shared" si="8"/>
        <v>1</v>
      </c>
      <c r="I172" s="56">
        <v>0.99309999999999998</v>
      </c>
      <c r="J172" s="56">
        <v>0.45619999999999999</v>
      </c>
      <c r="K172" s="56">
        <v>1</v>
      </c>
      <c r="L172" s="58">
        <f>SUM($C$2:C172)/(COUNT($C$2:C172)*24)</f>
        <v>0.84150259892787505</v>
      </c>
      <c r="M172" s="58">
        <f>SUM(D$2:$D172)/(COUNT($D$2:D172)*24)</f>
        <v>0.79388718323586738</v>
      </c>
      <c r="N172" s="58">
        <f>SUM($E$2:E172)/(COUNT($E$2:E172)*24)</f>
        <v>0.4792665692007797</v>
      </c>
    </row>
    <row r="173" spans="1:14">
      <c r="A173" s="49"/>
      <c r="B173" s="17">
        <v>46284</v>
      </c>
      <c r="C173" s="54">
        <v>0</v>
      </c>
      <c r="D173" s="54">
        <v>19</v>
      </c>
      <c r="E173" s="57">
        <v>18.91</v>
      </c>
      <c r="F173" s="55">
        <f t="shared" si="6"/>
        <v>0</v>
      </c>
      <c r="G173" s="55">
        <f t="shared" si="7"/>
        <v>0.79166666666666663</v>
      </c>
      <c r="H173" s="58">
        <f t="shared" si="8"/>
        <v>0.78791666666666671</v>
      </c>
      <c r="I173" s="56">
        <v>0.94089999999999996</v>
      </c>
      <c r="J173" s="56">
        <v>0.47389999999999999</v>
      </c>
      <c r="K173" s="56">
        <v>0.98880000000000001</v>
      </c>
      <c r="L173" s="58">
        <f>SUM($C$2:C173)/(COUNT($C$2:C173)*24)</f>
        <v>0.83661014195736416</v>
      </c>
      <c r="M173" s="58">
        <f>SUM(D$2:$D173)/(COUNT($D$2:D173)*24)</f>
        <v>0.79387427325581394</v>
      </c>
      <c r="N173" s="58">
        <f>SUM($E$2:E173)/(COUNT($E$2:E173)*24)</f>
        <v>0.4810610465116279</v>
      </c>
    </row>
    <row r="174" spans="1:14">
      <c r="A174" s="49"/>
      <c r="B174" s="17">
        <v>46285</v>
      </c>
      <c r="C174" s="54">
        <v>0</v>
      </c>
      <c r="D174" s="54">
        <v>24</v>
      </c>
      <c r="E174" s="54">
        <v>24</v>
      </c>
      <c r="F174" s="55">
        <f t="shared" si="6"/>
        <v>0</v>
      </c>
      <c r="G174" s="55">
        <f t="shared" si="7"/>
        <v>1</v>
      </c>
      <c r="H174" s="58">
        <f t="shared" si="8"/>
        <v>1</v>
      </c>
      <c r="I174" s="56">
        <v>0.89380000000000004</v>
      </c>
      <c r="J174" s="56">
        <v>0.50019999999999998</v>
      </c>
      <c r="K174" s="56">
        <v>0.98939999999999995</v>
      </c>
      <c r="L174" s="58">
        <f>SUM($C$2:C174)/(COUNT($C$2:C174)*24)</f>
        <v>0.8317742451830441</v>
      </c>
      <c r="M174" s="58">
        <f>SUM(D$2:$D174)/(COUNT($D$2:D174)*24)</f>
        <v>0.79506575144508662</v>
      </c>
      <c r="N174" s="58">
        <f>SUM($E$2:E174)/(COUNT($E$2:E174)*24)</f>
        <v>0.48406069364161847</v>
      </c>
    </row>
    <row r="175" spans="1:14">
      <c r="A175" s="49"/>
      <c r="B175" s="17">
        <v>46286</v>
      </c>
      <c r="C175" s="54">
        <v>0</v>
      </c>
      <c r="D175" s="54">
        <v>24</v>
      </c>
      <c r="E175" s="54">
        <v>24</v>
      </c>
      <c r="F175" s="55">
        <f t="shared" si="6"/>
        <v>0</v>
      </c>
      <c r="G175" s="55">
        <f t="shared" si="7"/>
        <v>1</v>
      </c>
      <c r="H175" s="58">
        <f t="shared" si="8"/>
        <v>1</v>
      </c>
      <c r="I175" s="56">
        <v>0.85129999999999995</v>
      </c>
      <c r="J175" s="56">
        <v>0.52400000000000002</v>
      </c>
      <c r="K175" s="56">
        <v>0.9899</v>
      </c>
      <c r="L175" s="58">
        <f>SUM($C$2:C175)/(COUNT($C$2:C175)*24)</f>
        <v>0.82699393342911864</v>
      </c>
      <c r="M175" s="58">
        <f>SUM(D$2:$D175)/(COUNT($D$2:D175)*24)</f>
        <v>0.79624353448275853</v>
      </c>
      <c r="N175" s="58">
        <f>SUM($E$2:E175)/(COUNT($E$2:E175)*24)</f>
        <v>0.48702586206896548</v>
      </c>
    </row>
    <row r="176" spans="1:14">
      <c r="A176" s="49"/>
      <c r="B176" s="17">
        <v>46287</v>
      </c>
      <c r="C176" s="54">
        <v>0</v>
      </c>
      <c r="D176" s="54">
        <v>24</v>
      </c>
      <c r="E176" s="54">
        <v>24</v>
      </c>
      <c r="F176" s="55">
        <f t="shared" si="6"/>
        <v>0</v>
      </c>
      <c r="G176" s="55">
        <f t="shared" si="7"/>
        <v>1</v>
      </c>
      <c r="H176" s="58">
        <f t="shared" si="8"/>
        <v>1</v>
      </c>
      <c r="I176" s="56">
        <v>0.81259999999999999</v>
      </c>
      <c r="J176" s="56">
        <v>0.54559999999999997</v>
      </c>
      <c r="K176" s="56">
        <v>0.99039999999999995</v>
      </c>
      <c r="L176" s="58">
        <f>SUM($C$2:C176)/(COUNT($C$2:C176)*24)</f>
        <v>0.82226825380952362</v>
      </c>
      <c r="M176" s="58">
        <f>SUM(D$2:$D176)/(COUNT($D$2:D176)*24)</f>
        <v>0.79740785714285711</v>
      </c>
      <c r="N176" s="58">
        <f>SUM($E$2:E176)/(COUNT($E$2:E176)*24)</f>
        <v>0.48995714285714281</v>
      </c>
    </row>
    <row r="177" spans="1:14">
      <c r="A177" s="49"/>
      <c r="B177" s="17">
        <v>46288</v>
      </c>
      <c r="C177" s="57">
        <v>16.670000000000002</v>
      </c>
      <c r="D177" s="57">
        <v>24</v>
      </c>
      <c r="E177" s="57">
        <v>24</v>
      </c>
      <c r="F177" s="55">
        <f t="shared" si="6"/>
        <v>0.69458333333333344</v>
      </c>
      <c r="G177" s="55">
        <f t="shared" si="7"/>
        <v>1</v>
      </c>
      <c r="H177" s="58">
        <f t="shared" si="8"/>
        <v>1</v>
      </c>
      <c r="I177" s="56">
        <v>0.80740000000000001</v>
      </c>
      <c r="J177" s="56">
        <v>0.56540000000000001</v>
      </c>
      <c r="K177" s="56">
        <v>0.99080000000000001</v>
      </c>
      <c r="L177" s="58">
        <f>SUM($C$2:C177)/(COUNT($C$2:C177)*24)</f>
        <v>0.82154277130681808</v>
      </c>
      <c r="M177" s="58">
        <f>SUM(D$2:$D177)/(COUNT($D$2:D177)*24)</f>
        <v>0.79855894886363632</v>
      </c>
      <c r="N177" s="58">
        <f>SUM($E$2:E177)/(COUNT($E$2:E177)*24)</f>
        <v>0.49285511363636358</v>
      </c>
    </row>
    <row r="178" spans="1:14">
      <c r="A178" s="49"/>
      <c r="B178" s="17">
        <v>46289</v>
      </c>
      <c r="C178" s="54">
        <v>24</v>
      </c>
      <c r="D178" s="54">
        <v>24</v>
      </c>
      <c r="E178" s="54">
        <v>24</v>
      </c>
      <c r="F178" s="55">
        <f t="shared" si="6"/>
        <v>1</v>
      </c>
      <c r="G178" s="55">
        <f t="shared" si="7"/>
        <v>1</v>
      </c>
      <c r="H178" s="58">
        <f t="shared" si="8"/>
        <v>1</v>
      </c>
      <c r="I178" s="56">
        <v>0.8155</v>
      </c>
      <c r="J178" s="56">
        <v>0.58350000000000002</v>
      </c>
      <c r="K178" s="56">
        <v>0.99119999999999997</v>
      </c>
      <c r="L178" s="58">
        <f>SUM($C$2:C178)/(COUNT($C$2:C178)*24)</f>
        <v>0.822551004237288</v>
      </c>
      <c r="M178" s="58">
        <f>SUM(D$2:$D178)/(COUNT($D$2:D178)*24)</f>
        <v>0.79969703389830504</v>
      </c>
      <c r="N178" s="58">
        <f>SUM($E$2:E178)/(COUNT($E$2:E178)*24)</f>
        <v>0.49572033898305079</v>
      </c>
    </row>
    <row r="179" spans="1:14">
      <c r="A179" s="49"/>
      <c r="B179" s="17">
        <v>46290</v>
      </c>
      <c r="C179" s="54">
        <v>8</v>
      </c>
      <c r="D179" s="54">
        <v>24</v>
      </c>
      <c r="E179" s="54">
        <v>24</v>
      </c>
      <c r="F179" s="55">
        <f t="shared" si="6"/>
        <v>0.33333333333333331</v>
      </c>
      <c r="G179" s="55">
        <f t="shared" si="7"/>
        <v>1</v>
      </c>
      <c r="H179" s="58">
        <f t="shared" si="8"/>
        <v>1</v>
      </c>
      <c r="I179" s="56">
        <v>0.79620000000000002</v>
      </c>
      <c r="J179" s="56">
        <v>0.60019999999999996</v>
      </c>
      <c r="K179" s="56">
        <v>0.99150000000000005</v>
      </c>
      <c r="L179" s="58">
        <f>SUM($C$2:C179)/(COUNT($C$2:C179)*24)</f>
        <v>0.81980259035580505</v>
      </c>
      <c r="M179" s="58">
        <f>SUM(D$2:$D179)/(COUNT($D$2:D179)*24)</f>
        <v>0.80082233146067416</v>
      </c>
      <c r="N179" s="58">
        <f>SUM($E$2:E179)/(COUNT($E$2:E179)*24)</f>
        <v>0.49855337078651679</v>
      </c>
    </row>
    <row r="180" spans="1:14">
      <c r="A180" s="49"/>
      <c r="B180" s="17">
        <v>46291</v>
      </c>
      <c r="C180" s="54">
        <v>0</v>
      </c>
      <c r="D180" s="54">
        <v>24</v>
      </c>
      <c r="E180" s="54">
        <v>24</v>
      </c>
      <c r="F180" s="55">
        <f t="shared" si="6"/>
        <v>0</v>
      </c>
      <c r="G180" s="55">
        <f t="shared" si="7"/>
        <v>1</v>
      </c>
      <c r="H180" s="58">
        <f t="shared" si="8"/>
        <v>1</v>
      </c>
      <c r="I180" s="56">
        <v>0.76549999999999996</v>
      </c>
      <c r="J180" s="56">
        <v>0.61550000000000005</v>
      </c>
      <c r="K180" s="56">
        <v>0.99180000000000001</v>
      </c>
      <c r="L180" s="58">
        <f>SUM($C$2:C180)/(COUNT($C$2:C180)*24)</f>
        <v>0.81522268761638716</v>
      </c>
      <c r="M180" s="58">
        <f>SUM(D$2:$D180)/(COUNT($D$2:D180)*24)</f>
        <v>0.80193505586592173</v>
      </c>
      <c r="N180" s="58">
        <f>SUM($E$2:E180)/(COUNT($E$2:E180)*24)</f>
        <v>0.50135474860335194</v>
      </c>
    </row>
    <row r="181" spans="1:14">
      <c r="A181" s="49"/>
      <c r="B181" s="17">
        <v>46292</v>
      </c>
      <c r="C181" s="54">
        <v>0</v>
      </c>
      <c r="D181" s="54">
        <v>24</v>
      </c>
      <c r="E181" s="54">
        <v>24</v>
      </c>
      <c r="F181" s="55">
        <f t="shared" si="6"/>
        <v>0</v>
      </c>
      <c r="G181" s="55">
        <f t="shared" si="7"/>
        <v>1</v>
      </c>
      <c r="H181" s="58">
        <f t="shared" si="8"/>
        <v>1</v>
      </c>
      <c r="I181" s="56">
        <v>0.73719999999999997</v>
      </c>
      <c r="J181" s="56">
        <v>0.62980000000000003</v>
      </c>
      <c r="K181" s="56">
        <v>0.99209999999999998</v>
      </c>
      <c r="L181" s="58">
        <f>SUM($C$2:C181)/(COUNT($C$2:C181)*24)</f>
        <v>0.810693672685185</v>
      </c>
      <c r="M181" s="58">
        <f>SUM(D$2:$D181)/(COUNT($D$2:D181)*24)</f>
        <v>0.80303541666666667</v>
      </c>
      <c r="N181" s="58">
        <f>SUM($E$2:E181)/(COUNT($E$2:E181)*24)</f>
        <v>0.50412499999999993</v>
      </c>
    </row>
    <row r="182" spans="1:14">
      <c r="A182" s="49"/>
      <c r="B182" s="17">
        <v>46293</v>
      </c>
      <c r="C182" s="54">
        <v>0</v>
      </c>
      <c r="D182" s="54">
        <v>24</v>
      </c>
      <c r="E182" s="54">
        <v>24</v>
      </c>
      <c r="F182" s="55">
        <f t="shared" si="6"/>
        <v>0</v>
      </c>
      <c r="G182" s="55">
        <f t="shared" si="7"/>
        <v>1</v>
      </c>
      <c r="H182" s="58">
        <f t="shared" si="8"/>
        <v>1</v>
      </c>
      <c r="I182" s="56">
        <v>0.71089999999999998</v>
      </c>
      <c r="J182" s="56">
        <v>0.64300000000000002</v>
      </c>
      <c r="K182" s="56">
        <v>0.99239999999999995</v>
      </c>
      <c r="L182" s="58">
        <f>SUM($C$2:C182)/(COUNT($C$2:C182)*24)</f>
        <v>0.80621470211786361</v>
      </c>
      <c r="M182" s="58">
        <f>SUM(D$2:$D182)/(COUNT($D$2:D182)*24)</f>
        <v>0.80412361878453031</v>
      </c>
      <c r="N182" s="58">
        <f>SUM($E$2:E182)/(COUNT($E$2:E182)*24)</f>
        <v>0.50686464088397787</v>
      </c>
    </row>
    <row r="183" spans="1:14">
      <c r="A183" s="49"/>
      <c r="B183" s="17">
        <v>46294</v>
      </c>
      <c r="C183" s="54">
        <v>0</v>
      </c>
      <c r="D183" s="54">
        <v>24</v>
      </c>
      <c r="E183" s="54">
        <v>24</v>
      </c>
      <c r="F183" s="55">
        <f t="shared" si="6"/>
        <v>0</v>
      </c>
      <c r="G183" s="55">
        <f t="shared" si="7"/>
        <v>1</v>
      </c>
      <c r="H183" s="58">
        <f t="shared" si="8"/>
        <v>1</v>
      </c>
      <c r="I183" s="56">
        <v>0.68640000000000001</v>
      </c>
      <c r="J183" s="56">
        <v>0.65529999999999999</v>
      </c>
      <c r="K183" s="56">
        <v>0.99270000000000003</v>
      </c>
      <c r="L183" s="58">
        <f>SUM($C$2:C183)/(COUNT($C$2:C183)*24)</f>
        <v>0.80178495100732583</v>
      </c>
      <c r="M183" s="58">
        <f>SUM(D$2:$D183)/(COUNT($D$2:D183)*24)</f>
        <v>0.80519986263736265</v>
      </c>
      <c r="N183" s="58">
        <f>SUM($E$2:E183)/(COUNT($E$2:E183)*24)</f>
        <v>0.50957417582417575</v>
      </c>
    </row>
    <row r="184" spans="1:14">
      <c r="A184" s="49"/>
      <c r="B184" s="17">
        <v>46295</v>
      </c>
      <c r="C184" s="54">
        <v>0</v>
      </c>
      <c r="D184" s="54">
        <v>24</v>
      </c>
      <c r="E184" s="54">
        <v>24</v>
      </c>
      <c r="F184" s="55">
        <f t="shared" si="6"/>
        <v>0</v>
      </c>
      <c r="G184" s="55">
        <f t="shared" si="7"/>
        <v>1</v>
      </c>
      <c r="H184" s="58">
        <f t="shared" si="8"/>
        <v>1</v>
      </c>
      <c r="I184" s="56">
        <v>0.66349999999999998</v>
      </c>
      <c r="J184" s="56">
        <v>0.66679999999999995</v>
      </c>
      <c r="K184" s="56">
        <v>0.9929</v>
      </c>
      <c r="L184" s="58">
        <f>SUM($C$2:C184)/(COUNT($C$2:C184)*24)</f>
        <v>0.79740361247723124</v>
      </c>
      <c r="M184" s="58">
        <f>SUM(D$2:$D184)/(COUNT($D$2:D184)*24)</f>
        <v>0.8062643442622951</v>
      </c>
      <c r="N184" s="58">
        <f>SUM($E$2:E184)/(COUNT($E$2:E184)*24)</f>
        <v>0.51225409836065572</v>
      </c>
    </row>
    <row r="185" spans="1:14" ht="15.75" customHeight="1">
      <c r="A185" s="50" t="s">
        <v>57</v>
      </c>
      <c r="B185" s="17">
        <v>46296</v>
      </c>
      <c r="C185" s="57">
        <v>0</v>
      </c>
      <c r="D185" s="57">
        <v>24</v>
      </c>
      <c r="E185" s="57">
        <v>24</v>
      </c>
      <c r="F185" s="56">
        <v>0</v>
      </c>
      <c r="G185" s="56">
        <v>1</v>
      </c>
      <c r="H185" s="56">
        <v>1</v>
      </c>
      <c r="I185" s="56">
        <v>0</v>
      </c>
      <c r="J185" s="56">
        <v>1</v>
      </c>
      <c r="K185" s="56">
        <v>1</v>
      </c>
      <c r="L185" s="56">
        <v>0.79310000000000003</v>
      </c>
      <c r="M185" s="56">
        <v>0.80730000000000002</v>
      </c>
      <c r="N185" s="56">
        <v>0.51490000000000002</v>
      </c>
    </row>
    <row r="186" spans="1:14" ht="15.75" customHeight="1">
      <c r="A186" s="51"/>
      <c r="B186" s="17">
        <v>46297</v>
      </c>
      <c r="C186" s="57">
        <v>0</v>
      </c>
      <c r="D186" s="57">
        <v>24</v>
      </c>
      <c r="E186" s="57">
        <v>24</v>
      </c>
      <c r="F186" s="56">
        <v>0</v>
      </c>
      <c r="G186" s="56">
        <v>1</v>
      </c>
      <c r="H186" s="56">
        <v>1</v>
      </c>
      <c r="I186" s="56">
        <v>0</v>
      </c>
      <c r="J186" s="56">
        <v>1</v>
      </c>
      <c r="K186" s="56">
        <v>1</v>
      </c>
      <c r="L186" s="56">
        <v>0.78879999999999995</v>
      </c>
      <c r="M186" s="56">
        <v>0.80840000000000001</v>
      </c>
      <c r="N186" s="56">
        <v>0.51749999999999996</v>
      </c>
    </row>
    <row r="187" spans="1:14" ht="15.75" customHeight="1">
      <c r="A187" s="51"/>
      <c r="B187" s="17">
        <v>46298</v>
      </c>
      <c r="C187" s="57">
        <v>0</v>
      </c>
      <c r="D187" s="57">
        <v>24</v>
      </c>
      <c r="E187" s="57">
        <v>24</v>
      </c>
      <c r="F187" s="56">
        <v>0</v>
      </c>
      <c r="G187" s="56">
        <v>1</v>
      </c>
      <c r="H187" s="56">
        <v>1</v>
      </c>
      <c r="I187" s="56">
        <v>0</v>
      </c>
      <c r="J187" s="56">
        <v>1</v>
      </c>
      <c r="K187" s="56">
        <v>1</v>
      </c>
      <c r="L187" s="56">
        <v>0.78449999999999998</v>
      </c>
      <c r="M187" s="56">
        <v>0.80940000000000001</v>
      </c>
      <c r="N187" s="56">
        <v>0.52010000000000001</v>
      </c>
    </row>
    <row r="188" spans="1:14" ht="15.75" customHeight="1">
      <c r="A188" s="51"/>
      <c r="B188" s="17">
        <v>46299</v>
      </c>
      <c r="C188" s="57">
        <v>0</v>
      </c>
      <c r="D188" s="57">
        <v>24</v>
      </c>
      <c r="E188" s="57">
        <v>24</v>
      </c>
      <c r="F188" s="56">
        <v>0</v>
      </c>
      <c r="G188" s="56">
        <v>1</v>
      </c>
      <c r="H188" s="56">
        <v>1</v>
      </c>
      <c r="I188" s="56">
        <v>0</v>
      </c>
      <c r="J188" s="56">
        <v>1</v>
      </c>
      <c r="K188" s="56">
        <v>1</v>
      </c>
      <c r="L188" s="56">
        <v>0.78029999999999999</v>
      </c>
      <c r="M188" s="56">
        <v>0.81040000000000001</v>
      </c>
      <c r="N188" s="56">
        <v>0.52270000000000005</v>
      </c>
    </row>
    <row r="189" spans="1:14" ht="15.75" customHeight="1">
      <c r="A189" s="51"/>
      <c r="B189" s="17">
        <v>46300</v>
      </c>
      <c r="C189" s="57">
        <v>0</v>
      </c>
      <c r="D189" s="57">
        <v>24</v>
      </c>
      <c r="E189" s="57">
        <v>24</v>
      </c>
      <c r="F189" s="56">
        <v>0</v>
      </c>
      <c r="G189" s="56">
        <v>1</v>
      </c>
      <c r="H189" s="56">
        <v>1</v>
      </c>
      <c r="I189" s="56">
        <v>0</v>
      </c>
      <c r="J189" s="56">
        <v>1</v>
      </c>
      <c r="K189" s="56">
        <v>1</v>
      </c>
      <c r="L189" s="56">
        <v>0.7762</v>
      </c>
      <c r="M189" s="56">
        <v>0.81140000000000001</v>
      </c>
      <c r="N189" s="56">
        <v>0.5252</v>
      </c>
    </row>
    <row r="190" spans="1:14" ht="15" customHeight="1">
      <c r="A190" s="51"/>
      <c r="B190" s="17">
        <v>46301</v>
      </c>
      <c r="C190" s="57">
        <v>0</v>
      </c>
      <c r="D190" s="57">
        <v>24</v>
      </c>
      <c r="E190" s="57">
        <v>24</v>
      </c>
      <c r="F190" s="56">
        <v>0</v>
      </c>
      <c r="G190" s="56">
        <v>1</v>
      </c>
      <c r="H190" s="56">
        <v>1</v>
      </c>
      <c r="I190" s="56">
        <v>0</v>
      </c>
      <c r="J190" s="56">
        <v>1</v>
      </c>
      <c r="K190" s="56">
        <v>1</v>
      </c>
      <c r="L190" s="56">
        <v>0.77210000000000001</v>
      </c>
      <c r="M190" s="56">
        <v>0.81240000000000001</v>
      </c>
      <c r="N190" s="56">
        <v>0.52769999999999995</v>
      </c>
    </row>
    <row r="191" spans="1:14" ht="15" customHeight="1">
      <c r="A191" s="51"/>
      <c r="B191" s="17">
        <v>46302</v>
      </c>
      <c r="C191" s="57">
        <v>0</v>
      </c>
      <c r="D191" s="57">
        <v>24</v>
      </c>
      <c r="E191" s="57">
        <v>24</v>
      </c>
      <c r="F191" s="56">
        <v>0</v>
      </c>
      <c r="G191" s="56">
        <v>1</v>
      </c>
      <c r="H191" s="56">
        <v>1</v>
      </c>
      <c r="I191" s="56">
        <v>0</v>
      </c>
      <c r="J191" s="56">
        <v>1</v>
      </c>
      <c r="K191" s="56">
        <v>1</v>
      </c>
      <c r="L191" s="56">
        <v>0.76800000000000002</v>
      </c>
      <c r="M191" s="56">
        <v>0.81340000000000001</v>
      </c>
      <c r="N191" s="56">
        <v>0.5302</v>
      </c>
    </row>
    <row r="192" spans="1:14" ht="15" customHeight="1">
      <c r="A192" s="51"/>
      <c r="B192" s="17">
        <v>46303</v>
      </c>
      <c r="C192" s="57">
        <v>0</v>
      </c>
      <c r="D192" s="57">
        <v>24</v>
      </c>
      <c r="E192" s="57">
        <v>24</v>
      </c>
      <c r="F192" s="56">
        <v>0</v>
      </c>
      <c r="G192" s="56">
        <v>1</v>
      </c>
      <c r="H192" s="56">
        <v>1</v>
      </c>
      <c r="I192" s="56">
        <v>0</v>
      </c>
      <c r="J192" s="56">
        <v>1</v>
      </c>
      <c r="K192" s="56">
        <v>1</v>
      </c>
      <c r="L192" s="56">
        <v>0.76400000000000001</v>
      </c>
      <c r="M192" s="56">
        <v>0.81440000000000001</v>
      </c>
      <c r="N192" s="56">
        <v>0.53269999999999995</v>
      </c>
    </row>
    <row r="193" spans="1:14" ht="15" customHeight="1">
      <c r="A193" s="51"/>
      <c r="B193" s="17">
        <v>46304</v>
      </c>
      <c r="C193" s="57">
        <v>0</v>
      </c>
      <c r="D193" s="57">
        <v>24</v>
      </c>
      <c r="E193" s="57">
        <v>24</v>
      </c>
      <c r="F193" s="56">
        <v>0</v>
      </c>
      <c r="G193" s="56">
        <v>1</v>
      </c>
      <c r="H193" s="56">
        <v>1</v>
      </c>
      <c r="I193" s="56">
        <v>0</v>
      </c>
      <c r="J193" s="56">
        <v>1</v>
      </c>
      <c r="K193" s="56">
        <v>1</v>
      </c>
      <c r="L193" s="56">
        <v>0.76</v>
      </c>
      <c r="M193" s="56">
        <v>0.81530000000000002</v>
      </c>
      <c r="N193" s="56">
        <v>0.53510000000000002</v>
      </c>
    </row>
    <row r="194" spans="1:14" ht="15" customHeight="1">
      <c r="A194" s="51"/>
      <c r="B194" s="17">
        <v>46305</v>
      </c>
      <c r="C194" s="54">
        <v>0</v>
      </c>
      <c r="D194" s="54">
        <v>24</v>
      </c>
      <c r="E194" s="54">
        <v>24</v>
      </c>
      <c r="F194" s="56">
        <v>0</v>
      </c>
      <c r="G194" s="56">
        <v>1</v>
      </c>
      <c r="H194" s="56">
        <v>1</v>
      </c>
      <c r="I194" s="56">
        <v>0</v>
      </c>
      <c r="J194" s="56">
        <v>1</v>
      </c>
      <c r="K194" s="56">
        <v>1</v>
      </c>
      <c r="L194" s="56">
        <v>0.75609999999999999</v>
      </c>
      <c r="M194" s="56">
        <v>0.81630000000000003</v>
      </c>
      <c r="N194" s="56">
        <v>0.53749999999999998</v>
      </c>
    </row>
    <row r="195" spans="1:14" ht="15" customHeight="1">
      <c r="A195" s="51"/>
      <c r="B195" s="17">
        <v>46306</v>
      </c>
      <c r="C195" s="54">
        <v>0</v>
      </c>
      <c r="D195" s="57">
        <v>24</v>
      </c>
      <c r="E195" s="54">
        <v>19.5</v>
      </c>
      <c r="F195" s="56">
        <v>0</v>
      </c>
      <c r="G195" s="56">
        <v>1</v>
      </c>
      <c r="H195" s="56">
        <v>0.8125</v>
      </c>
      <c r="I195" s="56">
        <v>0</v>
      </c>
      <c r="J195" s="56">
        <v>1</v>
      </c>
      <c r="K195" s="56">
        <v>0.98299999999999998</v>
      </c>
      <c r="L195" s="56">
        <v>0.75219999999999998</v>
      </c>
      <c r="M195" s="56">
        <v>0.81720000000000004</v>
      </c>
      <c r="N195" s="56">
        <v>0.53890000000000005</v>
      </c>
    </row>
    <row r="196" spans="1:14" ht="15" customHeight="1">
      <c r="A196" s="51"/>
      <c r="B196" s="17">
        <v>46307</v>
      </c>
    </row>
    <row r="197" spans="1:14" ht="15" customHeight="1">
      <c r="A197" s="51"/>
      <c r="B197" s="17">
        <v>46308</v>
      </c>
    </row>
    <row r="198" spans="1:14" ht="15" customHeight="1">
      <c r="A198" s="51"/>
      <c r="B198" s="17">
        <v>46309</v>
      </c>
    </row>
    <row r="199" spans="1:14" ht="15" customHeight="1">
      <c r="A199" s="51"/>
      <c r="B199" s="17">
        <v>46310</v>
      </c>
    </row>
    <row r="200" spans="1:14" ht="15" customHeight="1">
      <c r="A200" s="51"/>
      <c r="B200" s="17">
        <v>46311</v>
      </c>
    </row>
    <row r="201" spans="1:14" ht="15" customHeight="1">
      <c r="A201" s="51"/>
      <c r="B201" s="17">
        <v>46312</v>
      </c>
    </row>
    <row r="202" spans="1:14" ht="15" customHeight="1">
      <c r="A202" s="51"/>
      <c r="B202" s="17">
        <v>46313</v>
      </c>
    </row>
    <row r="203" spans="1:14" ht="15" customHeight="1">
      <c r="A203" s="51"/>
      <c r="B203" s="17">
        <v>46314</v>
      </c>
    </row>
    <row r="204" spans="1:14" ht="15" customHeight="1">
      <c r="A204" s="51"/>
      <c r="B204" s="17">
        <v>46315</v>
      </c>
    </row>
    <row r="205" spans="1:14" ht="15" customHeight="1">
      <c r="A205" s="51"/>
      <c r="B205" s="17">
        <v>46316</v>
      </c>
    </row>
    <row r="206" spans="1:14" ht="15" customHeight="1">
      <c r="A206" s="51"/>
      <c r="B206" s="17">
        <v>46317</v>
      </c>
    </row>
    <row r="207" spans="1:14" ht="15" customHeight="1">
      <c r="A207" s="51"/>
      <c r="B207" s="17">
        <v>46318</v>
      </c>
    </row>
    <row r="208" spans="1:14" ht="15" customHeight="1">
      <c r="A208" s="51"/>
      <c r="B208" s="17">
        <v>46319</v>
      </c>
    </row>
    <row r="209" spans="1:2" ht="15" customHeight="1">
      <c r="A209" s="51"/>
      <c r="B209" s="17">
        <v>46320</v>
      </c>
    </row>
    <row r="210" spans="1:2" ht="15" customHeight="1">
      <c r="A210" s="51"/>
      <c r="B210" s="17">
        <v>46321</v>
      </c>
    </row>
    <row r="211" spans="1:2" ht="15" customHeight="1">
      <c r="A211" s="51"/>
      <c r="B211" s="17">
        <v>46322</v>
      </c>
    </row>
    <row r="212" spans="1:2" ht="15" customHeight="1">
      <c r="A212" s="51"/>
      <c r="B212" s="17">
        <v>46323</v>
      </c>
    </row>
    <row r="213" spans="1:2" ht="15" customHeight="1">
      <c r="A213" s="51"/>
      <c r="B213" s="17">
        <v>46324</v>
      </c>
    </row>
    <row r="214" spans="1:2" ht="15" customHeight="1">
      <c r="A214" s="51"/>
      <c r="B214" s="17">
        <v>46325</v>
      </c>
    </row>
    <row r="215" spans="1:2" ht="24.75" customHeight="1">
      <c r="A215" s="52"/>
      <c r="B215" s="17">
        <v>46326</v>
      </c>
    </row>
    <row r="216" spans="1:2">
      <c r="B216" s="17">
        <v>46327</v>
      </c>
    </row>
    <row r="217" spans="1:2">
      <c r="B217" s="17">
        <v>46328</v>
      </c>
    </row>
    <row r="218" spans="1:2">
      <c r="B218" s="17">
        <v>46329</v>
      </c>
    </row>
    <row r="219" spans="1:2">
      <c r="B219" s="17">
        <v>46330</v>
      </c>
    </row>
    <row r="220" spans="1:2">
      <c r="B220" s="17">
        <v>46331</v>
      </c>
    </row>
    <row r="221" spans="1:2">
      <c r="B221" s="17">
        <v>46332</v>
      </c>
    </row>
    <row r="222" spans="1:2">
      <c r="B222" s="17">
        <v>46333</v>
      </c>
    </row>
    <row r="223" spans="1:2">
      <c r="B223" s="17">
        <v>46334</v>
      </c>
    </row>
    <row r="224" spans="1:2">
      <c r="B224" s="17">
        <v>46335</v>
      </c>
    </row>
    <row r="225" spans="2:2">
      <c r="B225" s="17">
        <v>46336</v>
      </c>
    </row>
    <row r="226" spans="2:2">
      <c r="B226" s="17">
        <v>46337</v>
      </c>
    </row>
    <row r="227" spans="2:2">
      <c r="B227" s="17">
        <v>46338</v>
      </c>
    </row>
    <row r="228" spans="2:2">
      <c r="B228" s="17">
        <v>46339</v>
      </c>
    </row>
    <row r="229" spans="2:2">
      <c r="B229" s="17">
        <v>46340</v>
      </c>
    </row>
    <row r="230" spans="2:2">
      <c r="B230" s="17">
        <v>46341</v>
      </c>
    </row>
    <row r="231" spans="2:2">
      <c r="B231" s="17">
        <v>46342</v>
      </c>
    </row>
    <row r="232" spans="2:2">
      <c r="B232" s="17">
        <v>46343</v>
      </c>
    </row>
    <row r="233" spans="2:2">
      <c r="B233" s="17">
        <v>46344</v>
      </c>
    </row>
    <row r="234" spans="2:2">
      <c r="B234" s="17">
        <v>46345</v>
      </c>
    </row>
    <row r="235" spans="2:2">
      <c r="B235" s="17">
        <v>46346</v>
      </c>
    </row>
    <row r="236" spans="2:2">
      <c r="B236" s="17">
        <v>46347</v>
      </c>
    </row>
    <row r="237" spans="2:2">
      <c r="B237" s="17">
        <v>46348</v>
      </c>
    </row>
    <row r="238" spans="2:2">
      <c r="B238" s="17">
        <v>46349</v>
      </c>
    </row>
    <row r="239" spans="2:2">
      <c r="B239" s="17">
        <v>46350</v>
      </c>
    </row>
    <row r="240" spans="2:2">
      <c r="B240" s="17">
        <v>46351</v>
      </c>
    </row>
    <row r="241" spans="2:2">
      <c r="B241" s="17">
        <v>46352</v>
      </c>
    </row>
    <row r="242" spans="2:2">
      <c r="B242" s="17">
        <v>46353</v>
      </c>
    </row>
    <row r="243" spans="2:2">
      <c r="B243" s="17">
        <v>46354</v>
      </c>
    </row>
    <row r="244" spans="2:2">
      <c r="B244" s="17">
        <v>46355</v>
      </c>
    </row>
    <row r="245" spans="2:2">
      <c r="B245" s="17">
        <v>46356</v>
      </c>
    </row>
    <row r="246" spans="2:2">
      <c r="B246" s="17">
        <v>46357</v>
      </c>
    </row>
    <row r="247" spans="2:2">
      <c r="B247" s="17">
        <v>46358</v>
      </c>
    </row>
    <row r="248" spans="2:2">
      <c r="B248" s="17">
        <v>46359</v>
      </c>
    </row>
    <row r="249" spans="2:2">
      <c r="B249" s="17">
        <v>46360</v>
      </c>
    </row>
    <row r="250" spans="2:2">
      <c r="B250" s="17">
        <v>46361</v>
      </c>
    </row>
    <row r="251" spans="2:2">
      <c r="B251" s="17">
        <v>46362</v>
      </c>
    </row>
    <row r="252" spans="2:2">
      <c r="B252" s="17">
        <v>46363</v>
      </c>
    </row>
    <row r="253" spans="2:2">
      <c r="B253" s="17">
        <v>46364</v>
      </c>
    </row>
    <row r="254" spans="2:2">
      <c r="B254" s="17">
        <v>46365</v>
      </c>
    </row>
    <row r="255" spans="2:2">
      <c r="B255" s="17">
        <v>46366</v>
      </c>
    </row>
    <row r="256" spans="2:2">
      <c r="B256" s="17">
        <v>46367</v>
      </c>
    </row>
    <row r="257" spans="2:2">
      <c r="B257" s="17">
        <v>46368</v>
      </c>
    </row>
    <row r="258" spans="2:2">
      <c r="B258" s="17">
        <v>46369</v>
      </c>
    </row>
    <row r="259" spans="2:2">
      <c r="B259" s="17">
        <v>46370</v>
      </c>
    </row>
    <row r="260" spans="2:2">
      <c r="B260" s="17">
        <v>46371</v>
      </c>
    </row>
    <row r="261" spans="2:2">
      <c r="B261" s="17">
        <v>46372</v>
      </c>
    </row>
    <row r="262" spans="2:2">
      <c r="B262" s="17">
        <v>46373</v>
      </c>
    </row>
    <row r="263" spans="2:2">
      <c r="B263" s="17">
        <v>46374</v>
      </c>
    </row>
    <row r="264" spans="2:2">
      <c r="B264" s="17">
        <v>46375</v>
      </c>
    </row>
    <row r="265" spans="2:2">
      <c r="B265" s="17">
        <v>46376</v>
      </c>
    </row>
    <row r="266" spans="2:2">
      <c r="B266" s="17">
        <v>46377</v>
      </c>
    </row>
    <row r="267" spans="2:2">
      <c r="B267" s="17">
        <v>46378</v>
      </c>
    </row>
    <row r="268" spans="2:2">
      <c r="B268" s="17">
        <v>46379</v>
      </c>
    </row>
    <row r="269" spans="2:2">
      <c r="B269" s="17">
        <v>46380</v>
      </c>
    </row>
    <row r="270" spans="2:2">
      <c r="B270" s="17">
        <v>46381</v>
      </c>
    </row>
    <row r="271" spans="2:2">
      <c r="B271" s="17">
        <v>46382</v>
      </c>
    </row>
    <row r="272" spans="2:2">
      <c r="B272" s="17">
        <v>46383</v>
      </c>
    </row>
    <row r="273" spans="2:2">
      <c r="B273" s="17">
        <v>46384</v>
      </c>
    </row>
    <row r="274" spans="2:2">
      <c r="B274" s="17">
        <v>46385</v>
      </c>
    </row>
    <row r="275" spans="2:2">
      <c r="B275" s="17">
        <v>46386</v>
      </c>
    </row>
    <row r="276" spans="2:2">
      <c r="B276" s="17">
        <v>46387</v>
      </c>
    </row>
    <row r="277" spans="2:2">
      <c r="B277" s="17">
        <v>46388</v>
      </c>
    </row>
    <row r="278" spans="2:2">
      <c r="B278" s="17">
        <v>46389</v>
      </c>
    </row>
    <row r="279" spans="2:2">
      <c r="B279" s="17">
        <v>46390</v>
      </c>
    </row>
    <row r="280" spans="2:2">
      <c r="B280" s="17">
        <v>46391</v>
      </c>
    </row>
    <row r="281" spans="2:2">
      <c r="B281" s="17">
        <v>46392</v>
      </c>
    </row>
    <row r="282" spans="2:2">
      <c r="B282" s="17">
        <v>46393</v>
      </c>
    </row>
    <row r="283" spans="2:2">
      <c r="B283" s="17">
        <v>46394</v>
      </c>
    </row>
    <row r="284" spans="2:2">
      <c r="B284" s="17">
        <v>46395</v>
      </c>
    </row>
    <row r="285" spans="2:2">
      <c r="B285" s="17">
        <v>46396</v>
      </c>
    </row>
    <row r="286" spans="2:2">
      <c r="B286" s="17">
        <v>46397</v>
      </c>
    </row>
    <row r="287" spans="2:2">
      <c r="B287" s="17">
        <v>46398</v>
      </c>
    </row>
    <row r="288" spans="2:2">
      <c r="B288" s="17">
        <v>46399</v>
      </c>
    </row>
    <row r="289" spans="2:2">
      <c r="B289" s="17">
        <v>46400</v>
      </c>
    </row>
    <row r="290" spans="2:2">
      <c r="B290" s="17">
        <v>46401</v>
      </c>
    </row>
    <row r="291" spans="2:2">
      <c r="B291" s="17">
        <v>46402</v>
      </c>
    </row>
    <row r="292" spans="2:2">
      <c r="B292" s="17">
        <v>46403</v>
      </c>
    </row>
    <row r="293" spans="2:2">
      <c r="B293" s="17">
        <v>46404</v>
      </c>
    </row>
    <row r="294" spans="2:2">
      <c r="B294" s="17">
        <v>46405</v>
      </c>
    </row>
    <row r="295" spans="2:2">
      <c r="B295" s="17">
        <v>46406</v>
      </c>
    </row>
    <row r="296" spans="2:2">
      <c r="B296" s="17">
        <v>46407</v>
      </c>
    </row>
    <row r="297" spans="2:2">
      <c r="B297" s="17">
        <v>46408</v>
      </c>
    </row>
    <row r="298" spans="2:2">
      <c r="B298" s="17">
        <v>46409</v>
      </c>
    </row>
    <row r="299" spans="2:2">
      <c r="B299" s="17">
        <v>46410</v>
      </c>
    </row>
    <row r="300" spans="2:2">
      <c r="B300" s="17">
        <v>46411</v>
      </c>
    </row>
    <row r="301" spans="2:2">
      <c r="B301" s="17">
        <v>46412</v>
      </c>
    </row>
    <row r="302" spans="2:2">
      <c r="B302" s="17">
        <v>46413</v>
      </c>
    </row>
    <row r="303" spans="2:2">
      <c r="B303" s="17">
        <v>46414</v>
      </c>
    </row>
    <row r="304" spans="2:2">
      <c r="B304" s="17">
        <v>46415</v>
      </c>
    </row>
    <row r="305" spans="2:2">
      <c r="B305" s="17">
        <v>46416</v>
      </c>
    </row>
    <row r="306" spans="2:2">
      <c r="B306" s="17">
        <v>46417</v>
      </c>
    </row>
    <row r="307" spans="2:2">
      <c r="B307" s="17">
        <v>46418</v>
      </c>
    </row>
    <row r="308" spans="2:2">
      <c r="B308" s="17">
        <v>46419</v>
      </c>
    </row>
    <row r="309" spans="2:2">
      <c r="B309" s="17">
        <v>46420</v>
      </c>
    </row>
    <row r="310" spans="2:2">
      <c r="B310" s="17">
        <v>46421</v>
      </c>
    </row>
    <row r="311" spans="2:2">
      <c r="B311" s="17">
        <v>46422</v>
      </c>
    </row>
    <row r="312" spans="2:2">
      <c r="B312" s="17">
        <v>46423</v>
      </c>
    </row>
    <row r="313" spans="2:2">
      <c r="B313" s="17">
        <v>46424</v>
      </c>
    </row>
    <row r="314" spans="2:2">
      <c r="B314" s="17">
        <v>46425</v>
      </c>
    </row>
    <row r="315" spans="2:2">
      <c r="B315" s="17">
        <v>46426</v>
      </c>
    </row>
    <row r="316" spans="2:2">
      <c r="B316" s="17">
        <v>46427</v>
      </c>
    </row>
    <row r="317" spans="2:2">
      <c r="B317" s="17">
        <v>46428</v>
      </c>
    </row>
    <row r="318" spans="2:2">
      <c r="B318" s="17">
        <v>46429</v>
      </c>
    </row>
    <row r="319" spans="2:2">
      <c r="B319" s="17">
        <v>46430</v>
      </c>
    </row>
    <row r="320" spans="2:2">
      <c r="B320" s="17">
        <v>46431</v>
      </c>
    </row>
    <row r="321" spans="2:2">
      <c r="B321" s="17">
        <v>46432</v>
      </c>
    </row>
    <row r="322" spans="2:2">
      <c r="B322" s="17">
        <v>46433</v>
      </c>
    </row>
    <row r="323" spans="2:2">
      <c r="B323" s="17">
        <v>46434</v>
      </c>
    </row>
    <row r="324" spans="2:2">
      <c r="B324" s="17">
        <v>46435</v>
      </c>
    </row>
    <row r="325" spans="2:2">
      <c r="B325" s="17">
        <v>46436</v>
      </c>
    </row>
    <row r="326" spans="2:2">
      <c r="B326" s="17">
        <v>46437</v>
      </c>
    </row>
    <row r="327" spans="2:2">
      <c r="B327" s="17">
        <v>46438</v>
      </c>
    </row>
    <row r="328" spans="2:2">
      <c r="B328" s="17">
        <v>46439</v>
      </c>
    </row>
    <row r="329" spans="2:2">
      <c r="B329" s="17">
        <v>46440</v>
      </c>
    </row>
    <row r="330" spans="2:2">
      <c r="B330" s="17">
        <v>46441</v>
      </c>
    </row>
    <row r="331" spans="2:2">
      <c r="B331" s="17">
        <v>46442</v>
      </c>
    </row>
    <row r="332" spans="2:2">
      <c r="B332" s="17">
        <v>46443</v>
      </c>
    </row>
    <row r="333" spans="2:2">
      <c r="B333" s="17">
        <v>46444</v>
      </c>
    </row>
    <row r="334" spans="2:2">
      <c r="B334" s="17">
        <v>46445</v>
      </c>
    </row>
    <row r="335" spans="2:2">
      <c r="B335" s="17">
        <v>46446</v>
      </c>
    </row>
    <row r="336" spans="2:2">
      <c r="B336" s="17">
        <v>46447</v>
      </c>
    </row>
    <row r="337" spans="2:2">
      <c r="B337" s="17">
        <v>46448</v>
      </c>
    </row>
    <row r="338" spans="2:2">
      <c r="B338" s="17">
        <v>46449</v>
      </c>
    </row>
    <row r="339" spans="2:2">
      <c r="B339" s="17">
        <v>46450</v>
      </c>
    </row>
    <row r="340" spans="2:2">
      <c r="B340" s="17">
        <v>46451</v>
      </c>
    </row>
    <row r="341" spans="2:2">
      <c r="B341" s="17">
        <v>46452</v>
      </c>
    </row>
    <row r="342" spans="2:2">
      <c r="B342" s="17">
        <v>46453</v>
      </c>
    </row>
    <row r="343" spans="2:2">
      <c r="B343" s="17">
        <v>46454</v>
      </c>
    </row>
    <row r="344" spans="2:2">
      <c r="B344" s="17">
        <v>46455</v>
      </c>
    </row>
    <row r="345" spans="2:2">
      <c r="B345" s="17">
        <v>46456</v>
      </c>
    </row>
    <row r="346" spans="2:2">
      <c r="B346" s="17">
        <v>46457</v>
      </c>
    </row>
    <row r="347" spans="2:2">
      <c r="B347" s="17">
        <v>46458</v>
      </c>
    </row>
    <row r="348" spans="2:2">
      <c r="B348" s="17">
        <v>46459</v>
      </c>
    </row>
    <row r="349" spans="2:2">
      <c r="B349" s="17">
        <v>46460</v>
      </c>
    </row>
    <row r="350" spans="2:2">
      <c r="B350" s="17">
        <v>46461</v>
      </c>
    </row>
    <row r="351" spans="2:2">
      <c r="B351" s="17">
        <v>46462</v>
      </c>
    </row>
    <row r="352" spans="2:2">
      <c r="B352" s="17">
        <v>46463</v>
      </c>
    </row>
    <row r="353" spans="2:2">
      <c r="B353" s="17">
        <v>46464</v>
      </c>
    </row>
    <row r="354" spans="2:2">
      <c r="B354" s="17">
        <v>46465</v>
      </c>
    </row>
    <row r="355" spans="2:2">
      <c r="B355" s="17">
        <v>46466</v>
      </c>
    </row>
    <row r="356" spans="2:2">
      <c r="B356" s="17">
        <v>46467</v>
      </c>
    </row>
    <row r="357" spans="2:2">
      <c r="B357" s="17">
        <v>46468</v>
      </c>
    </row>
    <row r="358" spans="2:2">
      <c r="B358" s="17">
        <v>46469</v>
      </c>
    </row>
    <row r="359" spans="2:2">
      <c r="B359" s="17">
        <v>46470</v>
      </c>
    </row>
    <row r="360" spans="2:2">
      <c r="B360" s="17">
        <v>46471</v>
      </c>
    </row>
    <row r="361" spans="2:2">
      <c r="B361" s="17">
        <v>46472</v>
      </c>
    </row>
    <row r="362" spans="2:2">
      <c r="B362" s="17">
        <v>46473</v>
      </c>
    </row>
    <row r="363" spans="2:2">
      <c r="B363" s="17">
        <v>46474</v>
      </c>
    </row>
    <row r="364" spans="2:2">
      <c r="B364" s="17">
        <v>46475</v>
      </c>
    </row>
    <row r="365" spans="2:2">
      <c r="B365" s="17">
        <v>46476</v>
      </c>
    </row>
    <row r="366" spans="2:2">
      <c r="B366" s="17">
        <v>46477</v>
      </c>
    </row>
    <row r="367" spans="2:2">
      <c r="B367" s="17">
        <v>46478</v>
      </c>
    </row>
    <row r="368" spans="2:2">
      <c r="B368" s="17">
        <v>46479</v>
      </c>
    </row>
    <row r="369" spans="2:2">
      <c r="B369" s="17">
        <v>46480</v>
      </c>
    </row>
    <row r="370" spans="2:2">
      <c r="B370" s="17">
        <v>46481</v>
      </c>
    </row>
    <row r="371" spans="2:2">
      <c r="B371" s="17">
        <v>46482</v>
      </c>
    </row>
    <row r="372" spans="2:2">
      <c r="B372" s="17">
        <v>46483</v>
      </c>
    </row>
    <row r="373" spans="2:2">
      <c r="B373" s="17">
        <v>46484</v>
      </c>
    </row>
    <row r="374" spans="2:2">
      <c r="B374" s="17">
        <v>46485</v>
      </c>
    </row>
    <row r="375" spans="2:2">
      <c r="B375" s="17">
        <v>46486</v>
      </c>
    </row>
    <row r="376" spans="2:2">
      <c r="B376" s="17">
        <v>46487</v>
      </c>
    </row>
    <row r="377" spans="2:2">
      <c r="B377" s="17">
        <v>46488</v>
      </c>
    </row>
    <row r="378" spans="2:2">
      <c r="B378" s="17">
        <v>46489</v>
      </c>
    </row>
    <row r="379" spans="2:2">
      <c r="B379" s="17">
        <v>46490</v>
      </c>
    </row>
    <row r="380" spans="2:2">
      <c r="B380" s="17">
        <v>46491</v>
      </c>
    </row>
    <row r="381" spans="2:2">
      <c r="B381" s="17">
        <v>46492</v>
      </c>
    </row>
    <row r="382" spans="2:2">
      <c r="B382" s="17">
        <v>46493</v>
      </c>
    </row>
    <row r="383" spans="2:2">
      <c r="B383" s="17">
        <v>46494</v>
      </c>
    </row>
    <row r="384" spans="2:2">
      <c r="B384" s="17">
        <v>46495</v>
      </c>
    </row>
    <row r="385" spans="2:2">
      <c r="B385" s="17">
        <v>46496</v>
      </c>
    </row>
    <row r="386" spans="2:2">
      <c r="B386" s="17">
        <v>46497</v>
      </c>
    </row>
    <row r="387" spans="2:2">
      <c r="B387" s="17">
        <v>46498</v>
      </c>
    </row>
    <row r="388" spans="2:2">
      <c r="B388" s="17">
        <v>46499</v>
      </c>
    </row>
    <row r="389" spans="2:2">
      <c r="B389" s="17">
        <v>46500</v>
      </c>
    </row>
    <row r="390" spans="2:2">
      <c r="B390" s="17">
        <v>46501</v>
      </c>
    </row>
    <row r="391" spans="2:2">
      <c r="B391" s="17">
        <v>46502</v>
      </c>
    </row>
    <row r="392" spans="2:2">
      <c r="B392" s="17">
        <v>46503</v>
      </c>
    </row>
    <row r="393" spans="2:2">
      <c r="B393" s="17">
        <v>46504</v>
      </c>
    </row>
    <row r="394" spans="2:2">
      <c r="B394" s="17">
        <v>46505</v>
      </c>
    </row>
    <row r="395" spans="2:2">
      <c r="B395" s="17">
        <v>46506</v>
      </c>
    </row>
    <row r="396" spans="2:2">
      <c r="B396" s="17">
        <v>46507</v>
      </c>
    </row>
    <row r="397" spans="2:2">
      <c r="B397" s="17">
        <v>46508</v>
      </c>
    </row>
    <row r="398" spans="2:2">
      <c r="B398" s="17">
        <v>46509</v>
      </c>
    </row>
    <row r="399" spans="2:2">
      <c r="B399" s="17">
        <v>46510</v>
      </c>
    </row>
    <row r="400" spans="2:2">
      <c r="B400" s="17">
        <v>46511</v>
      </c>
    </row>
    <row r="401" spans="2:2">
      <c r="B401" s="17">
        <v>46512</v>
      </c>
    </row>
    <row r="402" spans="2:2">
      <c r="B402" s="17">
        <v>46513</v>
      </c>
    </row>
    <row r="403" spans="2:2">
      <c r="B403" s="17">
        <v>46514</v>
      </c>
    </row>
    <row r="404" spans="2:2">
      <c r="B404" s="17">
        <v>46515</v>
      </c>
    </row>
    <row r="405" spans="2:2">
      <c r="B405" s="17">
        <v>46516</v>
      </c>
    </row>
    <row r="406" spans="2:2">
      <c r="B406" s="17">
        <v>46517</v>
      </c>
    </row>
    <row r="407" spans="2:2">
      <c r="B407" s="17">
        <v>46518</v>
      </c>
    </row>
    <row r="408" spans="2:2">
      <c r="B408" s="17">
        <v>46519</v>
      </c>
    </row>
    <row r="409" spans="2:2">
      <c r="B409" s="17">
        <v>46520</v>
      </c>
    </row>
    <row r="410" spans="2:2">
      <c r="B410" s="17">
        <v>46521</v>
      </c>
    </row>
    <row r="411" spans="2:2">
      <c r="B411" s="17">
        <v>46522</v>
      </c>
    </row>
    <row r="412" spans="2:2">
      <c r="B412" s="17">
        <v>46523</v>
      </c>
    </row>
    <row r="413" spans="2:2">
      <c r="B413" s="17">
        <v>46524</v>
      </c>
    </row>
    <row r="414" spans="2:2">
      <c r="B414" s="17">
        <v>46525</v>
      </c>
    </row>
    <row r="415" spans="2:2">
      <c r="B415" s="17">
        <v>46526</v>
      </c>
    </row>
    <row r="416" spans="2:2">
      <c r="B416" s="17">
        <v>46527</v>
      </c>
    </row>
    <row r="417" spans="2:2">
      <c r="B417" s="17">
        <v>46528</v>
      </c>
    </row>
    <row r="418" spans="2:2">
      <c r="B418" s="17">
        <v>46529</v>
      </c>
    </row>
    <row r="419" spans="2:2">
      <c r="B419" s="17">
        <v>46530</v>
      </c>
    </row>
    <row r="420" spans="2:2">
      <c r="B420" s="17">
        <v>46531</v>
      </c>
    </row>
    <row r="421" spans="2:2">
      <c r="B421" s="17">
        <v>46532</v>
      </c>
    </row>
    <row r="422" spans="2:2">
      <c r="B422" s="17">
        <v>46533</v>
      </c>
    </row>
    <row r="423" spans="2:2">
      <c r="B423" s="17">
        <v>46534</v>
      </c>
    </row>
    <row r="424" spans="2:2">
      <c r="B424" s="17">
        <v>46535</v>
      </c>
    </row>
    <row r="425" spans="2:2">
      <c r="B425" s="17">
        <v>46536</v>
      </c>
    </row>
    <row r="426" spans="2:2">
      <c r="B426" s="17">
        <v>46537</v>
      </c>
    </row>
    <row r="427" spans="2:2">
      <c r="B427" s="17">
        <v>46538</v>
      </c>
    </row>
    <row r="428" spans="2:2">
      <c r="B428" s="17">
        <v>46539</v>
      </c>
    </row>
    <row r="429" spans="2:2">
      <c r="B429" s="17">
        <v>46540</v>
      </c>
    </row>
    <row r="430" spans="2:2">
      <c r="B430" s="17">
        <v>46541</v>
      </c>
    </row>
    <row r="431" spans="2:2">
      <c r="B431" s="17">
        <v>46542</v>
      </c>
    </row>
    <row r="432" spans="2:2">
      <c r="B432" s="17">
        <v>46543</v>
      </c>
    </row>
    <row r="433" spans="2:2">
      <c r="B433" s="17">
        <v>46544</v>
      </c>
    </row>
    <row r="434" spans="2:2">
      <c r="B434" s="17">
        <v>46545</v>
      </c>
    </row>
    <row r="435" spans="2:2">
      <c r="B435" s="17">
        <v>46546</v>
      </c>
    </row>
    <row r="436" spans="2:2">
      <c r="B436" s="17">
        <v>46547</v>
      </c>
    </row>
    <row r="437" spans="2:2">
      <c r="B437" s="17">
        <v>46548</v>
      </c>
    </row>
    <row r="438" spans="2:2">
      <c r="B438" s="17">
        <v>46549</v>
      </c>
    </row>
    <row r="439" spans="2:2">
      <c r="B439" s="17">
        <v>46550</v>
      </c>
    </row>
    <row r="440" spans="2:2">
      <c r="B440" s="17">
        <v>46551</v>
      </c>
    </row>
    <row r="441" spans="2:2">
      <c r="B441" s="17">
        <v>46552</v>
      </c>
    </row>
    <row r="442" spans="2:2">
      <c r="B442" s="17">
        <v>46553</v>
      </c>
    </row>
    <row r="443" spans="2:2">
      <c r="B443" s="17">
        <v>46554</v>
      </c>
    </row>
    <row r="444" spans="2:2">
      <c r="B444" s="17">
        <v>46555</v>
      </c>
    </row>
    <row r="445" spans="2:2">
      <c r="B445" s="17">
        <v>46556</v>
      </c>
    </row>
    <row r="446" spans="2:2">
      <c r="B446" s="17">
        <v>46557</v>
      </c>
    </row>
    <row r="447" spans="2:2">
      <c r="B447" s="17">
        <v>46558</v>
      </c>
    </row>
    <row r="448" spans="2:2">
      <c r="B448" s="17">
        <v>46559</v>
      </c>
    </row>
    <row r="449" spans="2:2">
      <c r="B449" s="17">
        <v>46560</v>
      </c>
    </row>
    <row r="450" spans="2:2">
      <c r="B450" s="17">
        <v>46561</v>
      </c>
    </row>
    <row r="451" spans="2:2">
      <c r="B451" s="17">
        <v>46562</v>
      </c>
    </row>
    <row r="452" spans="2:2">
      <c r="B452" s="17">
        <v>46563</v>
      </c>
    </row>
    <row r="453" spans="2:2">
      <c r="B453" s="17">
        <v>46564</v>
      </c>
    </row>
    <row r="454" spans="2:2">
      <c r="B454" s="17">
        <v>46565</v>
      </c>
    </row>
    <row r="455" spans="2:2">
      <c r="B455" s="17">
        <v>46566</v>
      </c>
    </row>
    <row r="456" spans="2:2">
      <c r="B456" s="17">
        <v>46567</v>
      </c>
    </row>
    <row r="457" spans="2:2">
      <c r="B457" s="17">
        <v>46568</v>
      </c>
    </row>
    <row r="458" spans="2:2">
      <c r="B458" s="17">
        <v>46569</v>
      </c>
    </row>
    <row r="459" spans="2:2">
      <c r="B459" s="17">
        <v>46570</v>
      </c>
    </row>
    <row r="460" spans="2:2">
      <c r="B460" s="17">
        <v>46571</v>
      </c>
    </row>
    <row r="461" spans="2:2">
      <c r="B461" s="17">
        <v>46572</v>
      </c>
    </row>
    <row r="462" spans="2:2">
      <c r="B462" s="17">
        <v>46573</v>
      </c>
    </row>
    <row r="463" spans="2:2">
      <c r="B463" s="17">
        <v>46574</v>
      </c>
    </row>
    <row r="464" spans="2:2">
      <c r="B464" s="17">
        <v>46575</v>
      </c>
    </row>
    <row r="465" spans="2:2">
      <c r="B465" s="17">
        <v>46576</v>
      </c>
    </row>
    <row r="466" spans="2:2">
      <c r="B466" s="17">
        <v>46577</v>
      </c>
    </row>
    <row r="467" spans="2:2">
      <c r="B467" s="17">
        <v>46578</v>
      </c>
    </row>
    <row r="468" spans="2:2">
      <c r="B468" s="17">
        <v>46579</v>
      </c>
    </row>
    <row r="469" spans="2:2">
      <c r="B469" s="17">
        <v>46580</v>
      </c>
    </row>
    <row r="470" spans="2:2">
      <c r="B470" s="17">
        <v>46581</v>
      </c>
    </row>
    <row r="471" spans="2:2">
      <c r="B471" s="17">
        <v>46582</v>
      </c>
    </row>
    <row r="472" spans="2:2">
      <c r="B472" s="17">
        <v>46583</v>
      </c>
    </row>
    <row r="473" spans="2:2">
      <c r="B473" s="17">
        <v>46584</v>
      </c>
    </row>
    <row r="474" spans="2:2">
      <c r="B474" s="17">
        <v>46585</v>
      </c>
    </row>
    <row r="475" spans="2:2">
      <c r="B475" s="17">
        <v>46586</v>
      </c>
    </row>
    <row r="476" spans="2:2">
      <c r="B476" s="17">
        <v>46587</v>
      </c>
    </row>
    <row r="477" spans="2:2">
      <c r="B477" s="17">
        <v>46588</v>
      </c>
    </row>
    <row r="478" spans="2:2">
      <c r="B478" s="17">
        <v>46589</v>
      </c>
    </row>
    <row r="479" spans="2:2">
      <c r="B479" s="17">
        <v>46590</v>
      </c>
    </row>
    <row r="480" spans="2:2">
      <c r="B480" s="17">
        <v>46591</v>
      </c>
    </row>
    <row r="481" spans="2:2">
      <c r="B481" s="17">
        <v>46592</v>
      </c>
    </row>
    <row r="482" spans="2:2">
      <c r="B482" s="17">
        <v>46593</v>
      </c>
    </row>
    <row r="483" spans="2:2">
      <c r="B483" s="17">
        <v>46594</v>
      </c>
    </row>
    <row r="484" spans="2:2">
      <c r="B484" s="17">
        <v>46595</v>
      </c>
    </row>
    <row r="485" spans="2:2">
      <c r="B485" s="17">
        <v>46596</v>
      </c>
    </row>
    <row r="486" spans="2:2">
      <c r="B486" s="17">
        <v>46597</v>
      </c>
    </row>
    <row r="487" spans="2:2">
      <c r="B487" s="17">
        <v>46598</v>
      </c>
    </row>
    <row r="488" spans="2:2">
      <c r="B488" s="17">
        <v>46599</v>
      </c>
    </row>
    <row r="489" spans="2:2">
      <c r="B489" s="17">
        <v>46600</v>
      </c>
    </row>
    <row r="490" spans="2:2">
      <c r="B490" s="17">
        <v>46601</v>
      </c>
    </row>
    <row r="491" spans="2:2">
      <c r="B491" s="17">
        <v>46602</v>
      </c>
    </row>
    <row r="492" spans="2:2">
      <c r="B492" s="17">
        <v>46603</v>
      </c>
    </row>
    <row r="493" spans="2:2">
      <c r="B493" s="17">
        <v>46604</v>
      </c>
    </row>
    <row r="494" spans="2:2">
      <c r="B494" s="17">
        <v>46605</v>
      </c>
    </row>
    <row r="495" spans="2:2">
      <c r="B495" s="17">
        <v>46606</v>
      </c>
    </row>
    <row r="496" spans="2:2">
      <c r="B496" s="17">
        <v>46607</v>
      </c>
    </row>
    <row r="497" spans="2:2">
      <c r="B497" s="17">
        <v>46608</v>
      </c>
    </row>
    <row r="498" spans="2:2">
      <c r="B498" s="17">
        <v>46609</v>
      </c>
    </row>
    <row r="499" spans="2:2">
      <c r="B499" s="17">
        <v>46610</v>
      </c>
    </row>
    <row r="500" spans="2:2">
      <c r="B500" s="17">
        <v>46611</v>
      </c>
    </row>
    <row r="501" spans="2:2">
      <c r="B501" s="17">
        <v>46612</v>
      </c>
    </row>
    <row r="502" spans="2:2">
      <c r="B502" s="17">
        <v>46613</v>
      </c>
    </row>
    <row r="503" spans="2:2">
      <c r="B503" s="17">
        <v>46614</v>
      </c>
    </row>
    <row r="504" spans="2:2">
      <c r="B504" s="17">
        <v>46615</v>
      </c>
    </row>
    <row r="505" spans="2:2">
      <c r="B505" s="17">
        <v>46616</v>
      </c>
    </row>
    <row r="506" spans="2:2">
      <c r="B506" s="17">
        <v>46617</v>
      </c>
    </row>
    <row r="507" spans="2:2">
      <c r="B507" s="17">
        <v>46618</v>
      </c>
    </row>
    <row r="508" spans="2:2">
      <c r="B508" s="17">
        <v>46619</v>
      </c>
    </row>
    <row r="509" spans="2:2">
      <c r="B509" s="17">
        <v>46620</v>
      </c>
    </row>
    <row r="510" spans="2:2">
      <c r="B510" s="17">
        <v>46621</v>
      </c>
    </row>
    <row r="511" spans="2:2">
      <c r="B511" s="17">
        <v>46622</v>
      </c>
    </row>
    <row r="512" spans="2:2">
      <c r="B512" s="17">
        <v>46623</v>
      </c>
    </row>
    <row r="513" spans="2:2">
      <c r="B513" s="17">
        <v>46624</v>
      </c>
    </row>
    <row r="514" spans="2:2">
      <c r="B514" s="17">
        <v>46625</v>
      </c>
    </row>
    <row r="515" spans="2:2">
      <c r="B515" s="17">
        <v>46626</v>
      </c>
    </row>
    <row r="516" spans="2:2">
      <c r="B516" s="17">
        <v>46627</v>
      </c>
    </row>
    <row r="517" spans="2:2">
      <c r="B517" s="17">
        <v>46628</v>
      </c>
    </row>
    <row r="518" spans="2:2">
      <c r="B518" s="17">
        <v>46629</v>
      </c>
    </row>
    <row r="519" spans="2:2">
      <c r="B519" s="17">
        <v>46630</v>
      </c>
    </row>
    <row r="520" spans="2:2">
      <c r="B520" s="17">
        <v>46631</v>
      </c>
    </row>
    <row r="521" spans="2:2">
      <c r="B521" s="17">
        <v>46632</v>
      </c>
    </row>
    <row r="522" spans="2:2">
      <c r="B522" s="17">
        <v>46633</v>
      </c>
    </row>
    <row r="523" spans="2:2">
      <c r="B523" s="17">
        <v>46634</v>
      </c>
    </row>
    <row r="524" spans="2:2">
      <c r="B524" s="17">
        <v>46635</v>
      </c>
    </row>
    <row r="525" spans="2:2">
      <c r="B525" s="17">
        <v>46636</v>
      </c>
    </row>
    <row r="526" spans="2:2">
      <c r="B526" s="17">
        <v>46637</v>
      </c>
    </row>
    <row r="527" spans="2:2">
      <c r="B527" s="17">
        <v>46638</v>
      </c>
    </row>
    <row r="528" spans="2:2">
      <c r="B528" s="17">
        <v>46639</v>
      </c>
    </row>
    <row r="529" spans="2:2">
      <c r="B529" s="17">
        <v>46640</v>
      </c>
    </row>
    <row r="530" spans="2:2">
      <c r="B530" s="17">
        <v>46641</v>
      </c>
    </row>
    <row r="531" spans="2:2">
      <c r="B531" s="17">
        <v>46642</v>
      </c>
    </row>
    <row r="532" spans="2:2">
      <c r="B532" s="17">
        <v>46643</v>
      </c>
    </row>
    <row r="533" spans="2:2">
      <c r="B533" s="17">
        <v>46644</v>
      </c>
    </row>
    <row r="534" spans="2:2">
      <c r="B534" s="17">
        <v>46645</v>
      </c>
    </row>
    <row r="535" spans="2:2">
      <c r="B535" s="17">
        <v>46646</v>
      </c>
    </row>
    <row r="536" spans="2:2">
      <c r="B536" s="17">
        <v>46647</v>
      </c>
    </row>
    <row r="537" spans="2:2">
      <c r="B537" s="17">
        <v>46648</v>
      </c>
    </row>
    <row r="538" spans="2:2">
      <c r="B538" s="17">
        <v>46649</v>
      </c>
    </row>
    <row r="539" spans="2:2">
      <c r="B539" s="17">
        <v>46650</v>
      </c>
    </row>
    <row r="540" spans="2:2">
      <c r="B540" s="17">
        <v>46651</v>
      </c>
    </row>
    <row r="541" spans="2:2">
      <c r="B541" s="17">
        <v>46652</v>
      </c>
    </row>
    <row r="542" spans="2:2">
      <c r="B542" s="17">
        <v>46653</v>
      </c>
    </row>
    <row r="543" spans="2:2">
      <c r="B543" s="17">
        <v>46654</v>
      </c>
    </row>
    <row r="544" spans="2:2">
      <c r="B544" s="17">
        <v>46655</v>
      </c>
    </row>
    <row r="545" spans="2:2">
      <c r="B545" s="17">
        <v>46656</v>
      </c>
    </row>
    <row r="546" spans="2:2">
      <c r="B546" s="17">
        <v>46657</v>
      </c>
    </row>
    <row r="547" spans="2:2">
      <c r="B547" s="17">
        <v>46658</v>
      </c>
    </row>
    <row r="548" spans="2:2">
      <c r="B548" s="17">
        <v>46659</v>
      </c>
    </row>
    <row r="549" spans="2:2">
      <c r="B549" s="17">
        <v>46660</v>
      </c>
    </row>
    <row r="550" spans="2:2">
      <c r="B550" s="17">
        <v>46661</v>
      </c>
    </row>
    <row r="551" spans="2:2">
      <c r="B551" s="17">
        <v>46662</v>
      </c>
    </row>
    <row r="552" spans="2:2">
      <c r="B552" s="17">
        <v>46663</v>
      </c>
    </row>
    <row r="553" spans="2:2">
      <c r="B553" s="17">
        <v>46664</v>
      </c>
    </row>
    <row r="554" spans="2:2">
      <c r="B554" s="17">
        <v>46665</v>
      </c>
    </row>
    <row r="555" spans="2:2">
      <c r="B555" s="17">
        <v>46666</v>
      </c>
    </row>
    <row r="556" spans="2:2">
      <c r="B556" s="17">
        <v>46667</v>
      </c>
    </row>
    <row r="557" spans="2:2">
      <c r="B557" s="17">
        <v>46668</v>
      </c>
    </row>
    <row r="558" spans="2:2">
      <c r="B558" s="17">
        <v>46669</v>
      </c>
    </row>
    <row r="559" spans="2:2">
      <c r="B559" s="17">
        <v>46670</v>
      </c>
    </row>
    <row r="560" spans="2:2">
      <c r="B560" s="17">
        <v>46671</v>
      </c>
    </row>
    <row r="561" spans="2:2">
      <c r="B561" s="17">
        <v>46672</v>
      </c>
    </row>
    <row r="562" spans="2:2">
      <c r="B562" s="17">
        <v>46673</v>
      </c>
    </row>
    <row r="563" spans="2:2">
      <c r="B563" s="17">
        <v>46674</v>
      </c>
    </row>
    <row r="564" spans="2:2">
      <c r="B564" s="17">
        <v>46675</v>
      </c>
    </row>
    <row r="565" spans="2:2">
      <c r="B565" s="17">
        <v>46676</v>
      </c>
    </row>
    <row r="566" spans="2:2">
      <c r="B566" s="17">
        <v>46677</v>
      </c>
    </row>
    <row r="567" spans="2:2">
      <c r="B567" s="17">
        <v>46678</v>
      </c>
    </row>
    <row r="568" spans="2:2">
      <c r="B568" s="17">
        <v>46679</v>
      </c>
    </row>
    <row r="569" spans="2:2">
      <c r="B569" s="17">
        <v>46680</v>
      </c>
    </row>
    <row r="570" spans="2:2">
      <c r="B570" s="17">
        <v>46681</v>
      </c>
    </row>
    <row r="571" spans="2:2">
      <c r="B571" s="17">
        <v>46682</v>
      </c>
    </row>
    <row r="572" spans="2:2">
      <c r="B572" s="17">
        <v>46683</v>
      </c>
    </row>
    <row r="573" spans="2:2">
      <c r="B573" s="17">
        <v>46684</v>
      </c>
    </row>
    <row r="574" spans="2:2">
      <c r="B574" s="17">
        <v>46685</v>
      </c>
    </row>
    <row r="575" spans="2:2">
      <c r="B575" s="17">
        <v>46686</v>
      </c>
    </row>
    <row r="576" spans="2:2">
      <c r="B576" s="17">
        <v>46687</v>
      </c>
    </row>
    <row r="577" spans="2:2">
      <c r="B577" s="17">
        <v>46688</v>
      </c>
    </row>
    <row r="578" spans="2:2">
      <c r="B578" s="17">
        <v>46689</v>
      </c>
    </row>
    <row r="579" spans="2:2">
      <c r="B579" s="17">
        <v>46690</v>
      </c>
    </row>
    <row r="580" spans="2:2">
      <c r="B580" s="17">
        <v>46691</v>
      </c>
    </row>
    <row r="581" spans="2:2">
      <c r="B581" s="17">
        <v>46692</v>
      </c>
    </row>
    <row r="582" spans="2:2">
      <c r="B582" s="17">
        <v>46693</v>
      </c>
    </row>
    <row r="583" spans="2:2">
      <c r="B583" s="17">
        <v>46694</v>
      </c>
    </row>
    <row r="584" spans="2:2">
      <c r="B584" s="17">
        <v>46695</v>
      </c>
    </row>
    <row r="585" spans="2:2">
      <c r="B585" s="17">
        <v>46696</v>
      </c>
    </row>
    <row r="586" spans="2:2">
      <c r="B586" s="17">
        <v>46697</v>
      </c>
    </row>
    <row r="587" spans="2:2">
      <c r="B587" s="17">
        <v>46698</v>
      </c>
    </row>
    <row r="588" spans="2:2">
      <c r="B588" s="17">
        <v>46699</v>
      </c>
    </row>
    <row r="589" spans="2:2">
      <c r="B589" s="17">
        <v>46700</v>
      </c>
    </row>
    <row r="590" spans="2:2">
      <c r="B590" s="17">
        <v>46701</v>
      </c>
    </row>
    <row r="591" spans="2:2">
      <c r="B591" s="17">
        <v>46702</v>
      </c>
    </row>
    <row r="592" spans="2:2">
      <c r="B592" s="17">
        <v>46703</v>
      </c>
    </row>
    <row r="593" spans="2:2">
      <c r="B593" s="17">
        <v>46704</v>
      </c>
    </row>
    <row r="594" spans="2:2">
      <c r="B594" s="17">
        <v>46705</v>
      </c>
    </row>
    <row r="595" spans="2:2">
      <c r="B595" s="17">
        <v>46706</v>
      </c>
    </row>
    <row r="596" spans="2:2">
      <c r="B596" s="17">
        <v>46707</v>
      </c>
    </row>
    <row r="597" spans="2:2">
      <c r="B597" s="17">
        <v>46708</v>
      </c>
    </row>
    <row r="598" spans="2:2">
      <c r="B598" s="17">
        <v>46709</v>
      </c>
    </row>
    <row r="599" spans="2:2">
      <c r="B599" s="17">
        <v>46710</v>
      </c>
    </row>
    <row r="600" spans="2:2">
      <c r="B600" s="17">
        <v>46711</v>
      </c>
    </row>
    <row r="601" spans="2:2">
      <c r="B601" s="17">
        <v>46712</v>
      </c>
    </row>
    <row r="602" spans="2:2">
      <c r="B602" s="17">
        <v>46713</v>
      </c>
    </row>
    <row r="603" spans="2:2">
      <c r="B603" s="17">
        <v>46714</v>
      </c>
    </row>
    <row r="604" spans="2:2">
      <c r="B604" s="17">
        <v>46715</v>
      </c>
    </row>
    <row r="605" spans="2:2">
      <c r="B605" s="17">
        <v>46716</v>
      </c>
    </row>
  </sheetData>
  <mergeCells count="7">
    <mergeCell ref="A185:A215"/>
    <mergeCell ref="A155:A184"/>
    <mergeCell ref="A2:A31"/>
    <mergeCell ref="A32:A62"/>
    <mergeCell ref="A63:A92"/>
    <mergeCell ref="A93:A123"/>
    <mergeCell ref="A124:A15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I29" sqref="I29"/>
    </sheetView>
  </sheetViews>
  <sheetFormatPr defaultRowHeight="15"/>
  <cols>
    <col min="1" max="1" width="24" customWidth="1"/>
    <col min="2" max="2" width="52.5703125" customWidth="1"/>
    <col min="3" max="3" width="34.7109375" customWidth="1"/>
  </cols>
  <sheetData>
    <row r="1" spans="1:6" ht="18" thickBot="1">
      <c r="A1" s="22" t="s">
        <v>48</v>
      </c>
      <c r="B1" s="22">
        <f>SUM(B2:B7)</f>
        <v>138</v>
      </c>
      <c r="C1" s="22" t="s">
        <v>49</v>
      </c>
    </row>
    <row r="2" spans="1:6" ht="19.5" thickBot="1">
      <c r="A2" s="69" t="s">
        <v>50</v>
      </c>
      <c r="B2" s="37">
        <v>83</v>
      </c>
      <c r="C2" s="25">
        <f t="shared" ref="C2:C7" si="0">IFERROR(B2/$B$1*100,0)</f>
        <v>60.144927536231883</v>
      </c>
    </row>
    <row r="3" spans="1:6" ht="19.5" thickBot="1">
      <c r="A3" s="69" t="s">
        <v>51</v>
      </c>
      <c r="B3" s="38">
        <v>21</v>
      </c>
      <c r="C3" s="25">
        <f t="shared" si="0"/>
        <v>15.217391304347828</v>
      </c>
    </row>
    <row r="4" spans="1:6" ht="19.5" thickBot="1">
      <c r="A4" s="69" t="s">
        <v>52</v>
      </c>
      <c r="B4" s="38">
        <v>4</v>
      </c>
      <c r="C4" s="25">
        <f t="shared" si="0"/>
        <v>2.8985507246376812</v>
      </c>
    </row>
    <row r="5" spans="1:6" ht="19.5" thickBot="1">
      <c r="A5" s="70" t="s">
        <v>53</v>
      </c>
      <c r="B5" s="39">
        <v>9</v>
      </c>
      <c r="C5" s="25">
        <f t="shared" si="0"/>
        <v>6.5217391304347823</v>
      </c>
      <c r="F5" s="15"/>
    </row>
    <row r="6" spans="1:6" ht="19.5" thickBot="1">
      <c r="A6" s="70" t="s">
        <v>54</v>
      </c>
      <c r="B6" s="39">
        <v>20</v>
      </c>
      <c r="C6" s="25">
        <f t="shared" si="0"/>
        <v>14.492753623188406</v>
      </c>
    </row>
    <row r="7" spans="1:6" ht="18.75">
      <c r="A7" s="71" t="s">
        <v>55</v>
      </c>
      <c r="B7" s="71">
        <v>1</v>
      </c>
      <c r="C7" s="25">
        <f t="shared" si="0"/>
        <v>0.72463768115942029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COMMON</vt:lpstr>
      <vt:lpstr>AVAILABILITY</vt:lpstr>
      <vt:lpstr>DEFECT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sipat.fgd5</cp:lastModifiedBy>
  <dcterms:modified xsi:type="dcterms:W3CDTF">2026-10-11T23:29:02Z</dcterms:modified>
</cp:coreProperties>
</file>